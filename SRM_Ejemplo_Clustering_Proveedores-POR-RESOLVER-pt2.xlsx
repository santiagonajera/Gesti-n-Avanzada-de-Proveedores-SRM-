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8_{61004920-14EE-4BF7-B260-A4EBB342B297}" xr6:coauthVersionLast="47" xr6:coauthVersionMax="47" xr10:uidLastSave="{00000000-0000-0000-0000-000000000000}"/>
  <bookViews>
    <workbookView xWindow="-19310" yWindow="-110" windowWidth="19420" windowHeight="10420" activeTab="1" xr2:uid="{00000000-000D-0000-FFFF-FFFF00000000}"/>
  </bookViews>
  <sheets>
    <sheet name="Por Resolver" sheetId="1" r:id="rId1"/>
    <sheet name="Por Resolver (3)" sheetId="3" r:id="rId2"/>
    <sheet name="Por Resolver (2)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9" i="3" l="1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8" i="3"/>
  <c r="I5" i="3"/>
  <c r="J5" i="3"/>
  <c r="K5" i="3"/>
  <c r="L5" i="3"/>
  <c r="M5" i="3"/>
  <c r="H5" i="3"/>
  <c r="I4" i="3"/>
  <c r="J4" i="3"/>
  <c r="K4" i="3"/>
  <c r="L4" i="3"/>
  <c r="M4" i="3"/>
  <c r="H4" i="3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8" i="1"/>
  <c r="O22" i="3" l="1"/>
  <c r="O16" i="3"/>
  <c r="O12" i="3"/>
  <c r="O9" i="3"/>
  <c r="O21" i="3"/>
  <c r="O17" i="3"/>
  <c r="O14" i="3"/>
  <c r="O10" i="3"/>
  <c r="O8" i="3"/>
  <c r="O20" i="3"/>
  <c r="O18" i="3"/>
  <c r="O15" i="3"/>
  <c r="O13" i="3"/>
  <c r="O11" i="3"/>
  <c r="O19" i="3"/>
  <c r="N8" i="3" l="1"/>
  <c r="P8" i="3" s="1"/>
  <c r="Q8" i="3" s="1"/>
  <c r="N19" i="3"/>
  <c r="P19" i="3" s="1"/>
  <c r="Q19" i="3" s="1"/>
  <c r="N18" i="3"/>
  <c r="P18" i="3"/>
  <c r="Q18" i="3" s="1"/>
  <c r="N22" i="3"/>
  <c r="P22" i="3" s="1"/>
  <c r="Q22" i="3" s="1"/>
  <c r="N16" i="3"/>
  <c r="P16" i="3" s="1"/>
  <c r="Q16" i="3" s="1"/>
  <c r="N15" i="3"/>
  <c r="P15" i="3" s="1"/>
  <c r="Q15" i="3" s="1"/>
  <c r="N14" i="3"/>
  <c r="P14" i="3" s="1"/>
  <c r="Q14" i="3" s="1"/>
  <c r="N12" i="3"/>
  <c r="P12" i="3" s="1"/>
  <c r="Q12" i="3" s="1"/>
  <c r="N10" i="3"/>
  <c r="P10" i="3"/>
  <c r="Q10" i="3" s="1"/>
  <c r="N11" i="3"/>
  <c r="P11" i="3" s="1"/>
  <c r="Q11" i="3" s="1"/>
  <c r="N20" i="3"/>
  <c r="P20" i="3"/>
  <c r="Q20" i="3" s="1"/>
  <c r="N17" i="3"/>
  <c r="P17" i="3"/>
  <c r="Q17" i="3" s="1"/>
  <c r="N13" i="3"/>
  <c r="P13" i="3" s="1"/>
  <c r="Q13" i="3" s="1"/>
  <c r="N9" i="3"/>
  <c r="P9" i="3"/>
  <c r="Q9" i="3" s="1"/>
  <c r="N21" i="3"/>
  <c r="P21" i="3" s="1"/>
  <c r="Q21" i="3" s="1"/>
</calcChain>
</file>

<file path=xl/sharedStrings.xml><?xml version="1.0" encoding="utf-8"?>
<sst xmlns="http://schemas.openxmlformats.org/spreadsheetml/2006/main" count="191" uniqueCount="51">
  <si>
    <t>Gestión Avanzada de Proveedores (SRM) — Clustering: Segmentación de Proveedores (K-Means)</t>
  </si>
  <si>
    <t>Centroide</t>
  </si>
  <si>
    <t>Nombre del Clúster</t>
  </si>
  <si>
    <t>Estrategia Recomendada</t>
  </si>
  <si>
    <t>N_Precio</t>
  </si>
  <si>
    <t>N_Tiempo</t>
  </si>
  <si>
    <t>N_Calidad</t>
  </si>
  <si>
    <t>N_Volumen</t>
  </si>
  <si>
    <t>N_Distancia</t>
  </si>
  <si>
    <t>N_Riesgo</t>
  </si>
  <si>
    <t>Centroide 1</t>
  </si>
  <si>
    <t>Socios Estratégicos</t>
  </si>
  <si>
    <t>Relación colaborativa de largo plazo, contratos estratégicos, desarrollo conjunto y aseguramiento de disponibilidad.</t>
  </si>
  <si>
    <t>Centroide 2</t>
  </si>
  <si>
    <t>Transaccionales / Bajo Costo</t>
  </si>
  <si>
    <t>Gestión por precio y eficiencia: e-procurement, licitaciones periódicas y mantener varias opciones para negociar.</t>
  </si>
  <si>
    <t>Riesgo / Bajo Desempeño</t>
  </si>
  <si>
    <t>Monitoreo estrecho, plan de mejora de desempeño o salida gradual, y búsqueda activa de proveedores sustitutos.</t>
  </si>
  <si>
    <t>Proveedor</t>
  </si>
  <si>
    <t>Precio Prom. ($/u)</t>
  </si>
  <si>
    <t>Tiempo de Entrega (días)</t>
  </si>
  <si>
    <t>Nivel de Calidad (%)</t>
  </si>
  <si>
    <t>Volumen de Compra Anual ($)</t>
  </si>
  <si>
    <t>Distancia al CD (km)</t>
  </si>
  <si>
    <t>Riesgo Financiero (1-10)</t>
  </si>
  <si>
    <t>Dist. a Centroide 1</t>
  </si>
  <si>
    <t>Dist. a Centroide 2</t>
  </si>
  <si>
    <t>Dist. a Centroide 3</t>
  </si>
  <si>
    <t>Clúster Asignado</t>
  </si>
  <si>
    <t>Acero Andino S.A.</t>
  </si>
  <si>
    <t>Textiles del Valle</t>
  </si>
  <si>
    <t>PlastiCorp</t>
  </si>
  <si>
    <t>Componentes Unidos</t>
  </si>
  <si>
    <t>Suministros Norte</t>
  </si>
  <si>
    <t>Insumos Rápidos</t>
  </si>
  <si>
    <t>Industrias Confiables</t>
  </si>
  <si>
    <t>Proveedora Sureña</t>
  </si>
  <si>
    <t>Global Parts Co.</t>
  </si>
  <si>
    <t>MetalTech</t>
  </si>
  <si>
    <t>TransLogistics</t>
  </si>
  <si>
    <t>FastSupply Ltd.</t>
  </si>
  <si>
    <t>Materiales del Sur</t>
  </si>
  <si>
    <t>Repuestos Express</t>
  </si>
  <si>
    <t>Distribuidora Central</t>
  </si>
  <si>
    <t>EJERCICIO ADICIONAL — Distancia Euclidiana entre dos proveedores (medida de similitud)</t>
  </si>
  <si>
    <t>Usando los valores NORMALIZADOS (columnas H:M), calcula la distancia euclidiana entre "Acero Andino S.A." y "PlastiCorp". Fórmula: d = RAIZ( Σ (x_i − y_i)^2 ). ¿Qué indica el resultado sobre qué tan parecidos son estos dos proveedores?</t>
  </si>
  <si>
    <t>Distancia euclidiana (Acero Andino S.A. vs PlastiCorp):</t>
  </si>
  <si>
    <t>PERFILES DE CLÚSTER Y ESTRATEGIA DE GESTIÓN (referencia)</t>
  </si>
  <si>
    <t>Clúster</t>
  </si>
  <si>
    <t>Nombre</t>
  </si>
  <si>
    <t>Comp.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</si>
</sst>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sz val="10"/>
      <color theme="1"/>
      <name val="Calibri"/>
      <family val="2"/>
      <charset val="1"/>
    </font>
    <font>
      <sz val="10"/>
      <color rgb="FFFFFFFF"/>
      <name val="Arial"/>
      <family val="2"/>
    </font>
    <font>
      <sz val="8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CE4D6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A6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2F2F2"/>
      </patternFill>
    </fill>
    <fill>
      <patternFill patternType="solid">
        <fgColor rgb="FF00B0F0"/>
        <bgColor rgb="FFE2EFDA"/>
      </patternFill>
    </fill>
    <fill>
      <patternFill patternType="solid">
        <fgColor rgb="FF00B0F0"/>
        <bgColor rgb="FFF2F2F2"/>
      </patternFill>
    </fill>
    <fill>
      <patternFill patternType="solid">
        <fgColor theme="2"/>
        <bgColor rgb="FFDDEBF7"/>
      </patternFill>
    </fill>
    <fill>
      <patternFill patternType="solid">
        <fgColor theme="2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/>
    <xf numFmtId="0" fontId="0" fillId="8" borderId="1" xfId="0" applyFill="1" applyBorder="1"/>
    <xf numFmtId="0" fontId="4" fillId="0" borderId="1" xfId="0" applyFont="1" applyBorder="1"/>
    <xf numFmtId="0" fontId="7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4" fillId="0" borderId="1" xfId="0" applyFont="1" applyBorder="1" applyAlignment="1">
      <alignment vertical="center" wrapText="1"/>
    </xf>
    <xf numFmtId="0" fontId="3" fillId="0" borderId="0" xfId="0" applyFont="1"/>
    <xf numFmtId="0" fontId="5" fillId="9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/>
    <xf numFmtId="0" fontId="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A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32"/>
  <sheetViews>
    <sheetView showGridLines="0" topLeftCell="G1" zoomScaleNormal="100" workbookViewId="0">
      <selection activeCell="I4" sqref="I4"/>
    </sheetView>
  </sheetViews>
  <sheetFormatPr baseColWidth="10" defaultColWidth="8.7109375" defaultRowHeight="15" x14ac:dyDescent="0.25"/>
  <cols>
    <col min="1" max="1" width="24" customWidth="1"/>
    <col min="2" max="2" width="13" customWidth="1"/>
    <col min="3" max="4" width="12" customWidth="1"/>
    <col min="5" max="5" width="16" customWidth="1"/>
    <col min="6" max="6" width="12" customWidth="1"/>
    <col min="7" max="7" width="13" customWidth="1"/>
    <col min="8" max="11" width="10" customWidth="1"/>
    <col min="12" max="12" width="11" customWidth="1"/>
    <col min="13" max="13" width="10" customWidth="1"/>
    <col min="14" max="15" width="12" customWidth="1"/>
    <col min="16" max="16" width="10" customWidth="1"/>
    <col min="17" max="17" width="22" customWidth="1"/>
    <col min="18" max="18" width="42" customWidth="1"/>
  </cols>
  <sheetData>
    <row r="1" spans="1:18" ht="30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3" spans="1:18" ht="25.5" customHeight="1" x14ac:dyDescent="0.25">
      <c r="A3" s="2" t="s">
        <v>1</v>
      </c>
      <c r="B3" s="2" t="s">
        <v>2</v>
      </c>
      <c r="C3" s="2" t="s">
        <v>3</v>
      </c>
      <c r="H3" s="14" t="s">
        <v>4</v>
      </c>
      <c r="I3" s="14" t="s">
        <v>5</v>
      </c>
      <c r="J3" s="14" t="s">
        <v>6</v>
      </c>
      <c r="K3" s="14" t="s">
        <v>7</v>
      </c>
      <c r="L3" s="14" t="s">
        <v>8</v>
      </c>
      <c r="M3" s="14" t="s">
        <v>9</v>
      </c>
    </row>
    <row r="4" spans="1:18" ht="39.75" customHeight="1" x14ac:dyDescent="0.25">
      <c r="A4" s="26" t="s">
        <v>10</v>
      </c>
      <c r="B4" s="27" t="s">
        <v>11</v>
      </c>
      <c r="C4" s="27" t="s">
        <v>12</v>
      </c>
      <c r="H4" s="24">
        <v>62</v>
      </c>
      <c r="I4" s="24">
        <v>5</v>
      </c>
      <c r="J4" s="24">
        <v>97</v>
      </c>
      <c r="K4" s="25">
        <v>620000</v>
      </c>
      <c r="L4" s="24">
        <v>150</v>
      </c>
      <c r="M4" s="24">
        <v>2</v>
      </c>
    </row>
    <row r="5" spans="1:18" ht="39.75" customHeight="1" x14ac:dyDescent="0.25">
      <c r="A5" s="31" t="s">
        <v>13</v>
      </c>
      <c r="B5" s="32" t="s">
        <v>14</v>
      </c>
      <c r="C5" s="32" t="s">
        <v>15</v>
      </c>
      <c r="H5" s="29">
        <v>42</v>
      </c>
      <c r="I5" s="29">
        <v>19</v>
      </c>
      <c r="J5" s="29">
        <v>70</v>
      </c>
      <c r="K5" s="30">
        <v>70000</v>
      </c>
      <c r="L5" s="29">
        <v>320</v>
      </c>
      <c r="M5" s="29">
        <v>7</v>
      </c>
    </row>
    <row r="6" spans="1:18" x14ac:dyDescent="0.25">
      <c r="H6" s="16"/>
      <c r="I6" s="16"/>
      <c r="J6" s="16"/>
      <c r="K6" s="16"/>
      <c r="L6" s="16"/>
      <c r="M6" s="16"/>
      <c r="N6" s="16"/>
      <c r="O6" s="16"/>
      <c r="P6" s="16"/>
    </row>
    <row r="7" spans="1:18" ht="31.5" customHeight="1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14" t="s">
        <v>4</v>
      </c>
      <c r="I7" s="14" t="s">
        <v>5</v>
      </c>
      <c r="J7" s="14" t="s">
        <v>6</v>
      </c>
      <c r="K7" s="14" t="s">
        <v>7</v>
      </c>
      <c r="L7" s="14" t="s">
        <v>8</v>
      </c>
      <c r="M7" s="14" t="s">
        <v>9</v>
      </c>
      <c r="N7" s="35" t="s">
        <v>25</v>
      </c>
      <c r="O7" s="35" t="s">
        <v>26</v>
      </c>
      <c r="P7" s="14" t="s">
        <v>28</v>
      </c>
      <c r="Q7" s="4" t="s">
        <v>2</v>
      </c>
      <c r="R7" s="4" t="s">
        <v>3</v>
      </c>
    </row>
    <row r="8" spans="1:18" ht="25.5" customHeight="1" x14ac:dyDescent="0.25">
      <c r="A8" s="23" t="s">
        <v>29</v>
      </c>
      <c r="B8" s="24">
        <v>62</v>
      </c>
      <c r="C8" s="24">
        <v>5</v>
      </c>
      <c r="D8" s="24">
        <v>97</v>
      </c>
      <c r="E8" s="25">
        <v>620000</v>
      </c>
      <c r="F8" s="24">
        <v>150</v>
      </c>
      <c r="G8" s="24">
        <v>2</v>
      </c>
      <c r="H8" s="33"/>
      <c r="I8" s="33"/>
      <c r="J8" s="33"/>
      <c r="K8" s="33"/>
      <c r="L8" s="33"/>
      <c r="M8" s="33"/>
      <c r="N8" s="8">
        <f>+SQRT(($H$4-B8)^2+(C8-$I$4)^2+(D8-$J$4)^2+(E8-$K$4)^2+($L$4-F8)^2+(G8-$M$4)^2)</f>
        <v>0</v>
      </c>
      <c r="O8" s="8">
        <f>+SQRT(($H$5-B8)^2+(C8-$I$5)^2+(D8-$J$5)^2+(E8-$K$5)^2+($L$5-F8)^2+(G8-$M$5)^2)</f>
        <v>550000.02749999927</v>
      </c>
      <c r="P8" s="8">
        <f>+MIN(N8:O8)</f>
        <v>0</v>
      </c>
      <c r="Q8" s="10" t="str">
        <f>+IF(P8=N8,"Cluster 1","Cluster 2")</f>
        <v>Cluster 1</v>
      </c>
      <c r="R8" s="10"/>
    </row>
    <row r="9" spans="1:18" ht="25.5" customHeight="1" x14ac:dyDescent="0.25">
      <c r="A9" s="5" t="s">
        <v>30</v>
      </c>
      <c r="B9" s="6">
        <v>28</v>
      </c>
      <c r="C9" s="6">
        <v>10</v>
      </c>
      <c r="D9" s="6">
        <v>85</v>
      </c>
      <c r="E9" s="7">
        <v>220000</v>
      </c>
      <c r="F9" s="6">
        <v>550</v>
      </c>
      <c r="G9" s="6">
        <v>4</v>
      </c>
      <c r="H9" s="34"/>
      <c r="I9" s="34"/>
      <c r="J9" s="34"/>
      <c r="K9" s="34"/>
      <c r="L9" s="34"/>
      <c r="M9" s="34"/>
      <c r="N9" s="8">
        <f t="shared" ref="N9:N22" si="0">+SQRT(($H$4-B9)^2+(C9-$I$4)^2+(D9-$J$4)^2+(E9-$K$4)^2+($L$4-F9)^2+(G9-$M$4)^2)</f>
        <v>400000.20166119916</v>
      </c>
      <c r="O9" s="8">
        <f t="shared" ref="O9:O22" si="1">+SQRT(($H$5-B9)^2+(C9-$I$5)^2+(D9-$J$5)^2+(E9-$K$5)^2+($L$5-F9)^2+(G9-$M$5)^2)</f>
        <v>150000.178036561</v>
      </c>
      <c r="P9" s="8">
        <f t="shared" ref="P9:P22" si="2">+MIN(N9:O9)</f>
        <v>150000.178036561</v>
      </c>
      <c r="Q9" s="10" t="str">
        <f t="shared" ref="Q9:Q22" si="3">+IF(P9=N9,"Cluster 1","Cluster 2")</f>
        <v>Cluster 2</v>
      </c>
      <c r="R9" s="11"/>
    </row>
    <row r="10" spans="1:18" ht="25.5" customHeight="1" x14ac:dyDescent="0.25">
      <c r="A10" s="5" t="s">
        <v>31</v>
      </c>
      <c r="B10" s="6">
        <v>45</v>
      </c>
      <c r="C10" s="6">
        <v>20</v>
      </c>
      <c r="D10" s="6">
        <v>68</v>
      </c>
      <c r="E10" s="7">
        <v>60000</v>
      </c>
      <c r="F10" s="6">
        <v>350</v>
      </c>
      <c r="G10" s="6">
        <v>8</v>
      </c>
      <c r="H10" s="34"/>
      <c r="I10" s="34"/>
      <c r="J10" s="34"/>
      <c r="K10" s="34"/>
      <c r="L10" s="34"/>
      <c r="M10" s="34"/>
      <c r="N10" s="8">
        <f t="shared" si="0"/>
        <v>560000.0369562488</v>
      </c>
      <c r="O10" s="8">
        <f t="shared" si="1"/>
        <v>10000.045749895347</v>
      </c>
      <c r="P10" s="8">
        <f t="shared" si="2"/>
        <v>10000.045749895347</v>
      </c>
      <c r="Q10" s="10" t="str">
        <f t="shared" si="3"/>
        <v>Cluster 2</v>
      </c>
      <c r="R10" s="11"/>
    </row>
    <row r="11" spans="1:18" ht="25.5" customHeight="1" x14ac:dyDescent="0.25">
      <c r="A11" s="5" t="s">
        <v>32</v>
      </c>
      <c r="B11" s="6">
        <v>58</v>
      </c>
      <c r="C11" s="6">
        <v>6</v>
      </c>
      <c r="D11" s="6">
        <v>96</v>
      </c>
      <c r="E11" s="7">
        <v>540000</v>
      </c>
      <c r="F11" s="6">
        <v>220</v>
      </c>
      <c r="G11" s="6">
        <v>2</v>
      </c>
      <c r="H11" s="34"/>
      <c r="I11" s="34"/>
      <c r="J11" s="34"/>
      <c r="K11" s="34"/>
      <c r="L11" s="34"/>
      <c r="M11" s="34"/>
      <c r="N11" s="8">
        <f t="shared" si="0"/>
        <v>80000.030737494089</v>
      </c>
      <c r="O11" s="8">
        <f t="shared" si="1"/>
        <v>470000.01183617004</v>
      </c>
      <c r="P11" s="8">
        <f t="shared" si="2"/>
        <v>80000.030737494089</v>
      </c>
      <c r="Q11" s="10" t="str">
        <f t="shared" si="3"/>
        <v>Cluster 1</v>
      </c>
      <c r="R11" s="11"/>
    </row>
    <row r="12" spans="1:18" ht="25.5" customHeight="1" x14ac:dyDescent="0.25">
      <c r="A12" s="5" t="s">
        <v>33</v>
      </c>
      <c r="B12" s="6">
        <v>50</v>
      </c>
      <c r="C12" s="6">
        <v>22</v>
      </c>
      <c r="D12" s="6">
        <v>65</v>
      </c>
      <c r="E12" s="7">
        <v>45000</v>
      </c>
      <c r="F12" s="6">
        <v>400</v>
      </c>
      <c r="G12" s="6">
        <v>9</v>
      </c>
      <c r="H12" s="34"/>
      <c r="I12" s="34"/>
      <c r="J12" s="34"/>
      <c r="K12" s="34"/>
      <c r="L12" s="34"/>
      <c r="M12" s="34"/>
      <c r="N12" s="8">
        <f t="shared" si="0"/>
        <v>575000.05565738864</v>
      </c>
      <c r="O12" s="8">
        <f t="shared" si="1"/>
        <v>25000.130039661795</v>
      </c>
      <c r="P12" s="8">
        <f t="shared" si="2"/>
        <v>25000.130039661795</v>
      </c>
      <c r="Q12" s="10" t="str">
        <f t="shared" si="3"/>
        <v>Cluster 2</v>
      </c>
      <c r="R12" s="11"/>
    </row>
    <row r="13" spans="1:18" ht="25.5" customHeight="1" x14ac:dyDescent="0.25">
      <c r="A13" s="5" t="s">
        <v>34</v>
      </c>
      <c r="B13" s="6">
        <v>24</v>
      </c>
      <c r="C13" s="6">
        <v>8</v>
      </c>
      <c r="D13" s="6">
        <v>88</v>
      </c>
      <c r="E13" s="7">
        <v>260000</v>
      </c>
      <c r="F13" s="6">
        <v>480</v>
      </c>
      <c r="G13" s="6">
        <v>3</v>
      </c>
      <c r="H13" s="34"/>
      <c r="I13" s="34"/>
      <c r="J13" s="34"/>
      <c r="K13" s="34"/>
      <c r="L13" s="34"/>
      <c r="M13" s="34"/>
      <c r="N13" s="8">
        <f t="shared" si="0"/>
        <v>360000.15338191175</v>
      </c>
      <c r="O13" s="8">
        <f t="shared" si="1"/>
        <v>190000.06943419785</v>
      </c>
      <c r="P13" s="8">
        <f t="shared" si="2"/>
        <v>190000.06943419785</v>
      </c>
      <c r="Q13" s="10" t="str">
        <f t="shared" si="3"/>
        <v>Cluster 2</v>
      </c>
      <c r="R13" s="11"/>
    </row>
    <row r="14" spans="1:18" ht="25.5" customHeight="1" x14ac:dyDescent="0.25">
      <c r="A14" s="5" t="s">
        <v>35</v>
      </c>
      <c r="B14" s="6">
        <v>65</v>
      </c>
      <c r="C14" s="6">
        <v>4</v>
      </c>
      <c r="D14" s="6">
        <v>99</v>
      </c>
      <c r="E14" s="7">
        <v>700000</v>
      </c>
      <c r="F14" s="6">
        <v>180</v>
      </c>
      <c r="G14" s="6">
        <v>1</v>
      </c>
      <c r="H14" s="34"/>
      <c r="I14" s="34"/>
      <c r="J14" s="34"/>
      <c r="K14" s="34"/>
      <c r="L14" s="34"/>
      <c r="M14" s="34"/>
      <c r="N14" s="8">
        <f t="shared" si="0"/>
        <v>80000.005718749802</v>
      </c>
      <c r="O14" s="8">
        <f t="shared" si="1"/>
        <v>630000.01684999978</v>
      </c>
      <c r="P14" s="8">
        <f t="shared" si="2"/>
        <v>80000.005718749802</v>
      </c>
      <c r="Q14" s="10" t="str">
        <f t="shared" si="3"/>
        <v>Cluster 1</v>
      </c>
      <c r="R14" s="11"/>
    </row>
    <row r="15" spans="1:18" ht="25.5" customHeight="1" x14ac:dyDescent="0.25">
      <c r="A15" s="5" t="s">
        <v>36</v>
      </c>
      <c r="B15" s="6">
        <v>40</v>
      </c>
      <c r="C15" s="6">
        <v>18</v>
      </c>
      <c r="D15" s="6">
        <v>72</v>
      </c>
      <c r="E15" s="7">
        <v>80000</v>
      </c>
      <c r="F15" s="6">
        <v>300</v>
      </c>
      <c r="G15" s="6">
        <v>7</v>
      </c>
      <c r="H15" s="34"/>
      <c r="I15" s="34"/>
      <c r="J15" s="34"/>
      <c r="K15" s="34"/>
      <c r="L15" s="34"/>
      <c r="M15" s="34"/>
      <c r="N15" s="8">
        <f t="shared" si="0"/>
        <v>540000.02203981439</v>
      </c>
      <c r="O15" s="8">
        <f t="shared" si="1"/>
        <v>10000.020449979091</v>
      </c>
      <c r="P15" s="8">
        <f t="shared" si="2"/>
        <v>10000.020449979091</v>
      </c>
      <c r="Q15" s="10" t="str">
        <f t="shared" si="3"/>
        <v>Cluster 2</v>
      </c>
      <c r="R15" s="11"/>
    </row>
    <row r="16" spans="1:18" ht="25.5" customHeight="1" x14ac:dyDescent="0.25">
      <c r="A16" s="5" t="s">
        <v>37</v>
      </c>
      <c r="B16" s="6">
        <v>31</v>
      </c>
      <c r="C16" s="6">
        <v>11</v>
      </c>
      <c r="D16" s="6">
        <v>82</v>
      </c>
      <c r="E16" s="7">
        <v>190000</v>
      </c>
      <c r="F16" s="6">
        <v>620</v>
      </c>
      <c r="G16" s="6">
        <v>5</v>
      </c>
      <c r="H16" s="34"/>
      <c r="I16" s="34"/>
      <c r="J16" s="34"/>
      <c r="K16" s="34"/>
      <c r="L16" s="34"/>
      <c r="M16" s="34"/>
      <c r="N16" s="8">
        <f t="shared" si="0"/>
        <v>430000.25829178287</v>
      </c>
      <c r="O16" s="8">
        <f t="shared" si="1"/>
        <v>120000.37638690972</v>
      </c>
      <c r="P16" s="8">
        <f t="shared" si="2"/>
        <v>120000.37638690972</v>
      </c>
      <c r="Q16" s="10" t="str">
        <f t="shared" si="3"/>
        <v>Cluster 2</v>
      </c>
      <c r="R16" s="11"/>
    </row>
    <row r="17" spans="1:18" ht="25.5" customHeight="1" x14ac:dyDescent="0.25">
      <c r="A17" s="5" t="s">
        <v>38</v>
      </c>
      <c r="B17" s="6">
        <v>55</v>
      </c>
      <c r="C17" s="6">
        <v>7</v>
      </c>
      <c r="D17" s="6">
        <v>95</v>
      </c>
      <c r="E17" s="7">
        <v>460000</v>
      </c>
      <c r="F17" s="6">
        <v>260</v>
      </c>
      <c r="G17" s="6">
        <v>3</v>
      </c>
      <c r="H17" s="34"/>
      <c r="I17" s="34"/>
      <c r="J17" s="34"/>
      <c r="K17" s="34"/>
      <c r="L17" s="34"/>
      <c r="M17" s="34"/>
      <c r="N17" s="8">
        <f t="shared" si="0"/>
        <v>160000.0379937455</v>
      </c>
      <c r="O17" s="8">
        <f t="shared" si="1"/>
        <v>390000.00583846151</v>
      </c>
      <c r="P17" s="8">
        <f t="shared" si="2"/>
        <v>160000.0379937455</v>
      </c>
      <c r="Q17" s="10" t="str">
        <f t="shared" si="3"/>
        <v>Cluster 1</v>
      </c>
      <c r="R17" s="11"/>
    </row>
    <row r="18" spans="1:18" ht="25.5" customHeight="1" x14ac:dyDescent="0.25">
      <c r="A18" s="5" t="s">
        <v>39</v>
      </c>
      <c r="B18" s="6">
        <v>55</v>
      </c>
      <c r="C18" s="6">
        <v>25</v>
      </c>
      <c r="D18" s="6">
        <v>60</v>
      </c>
      <c r="E18" s="7">
        <v>35000</v>
      </c>
      <c r="F18" s="6">
        <v>450</v>
      </c>
      <c r="G18" s="6">
        <v>9</v>
      </c>
      <c r="H18" s="34"/>
      <c r="I18" s="34"/>
      <c r="J18" s="34"/>
      <c r="K18" s="34"/>
      <c r="L18" s="34"/>
      <c r="M18" s="34"/>
      <c r="N18" s="8">
        <f t="shared" si="0"/>
        <v>585000.07851879811</v>
      </c>
      <c r="O18" s="8">
        <f t="shared" si="1"/>
        <v>35000.245841993739</v>
      </c>
      <c r="P18" s="8">
        <f t="shared" si="2"/>
        <v>35000.245841993739</v>
      </c>
      <c r="Q18" s="10" t="str">
        <f t="shared" si="3"/>
        <v>Cluster 2</v>
      </c>
      <c r="R18" s="11"/>
    </row>
    <row r="19" spans="1:18" ht="25.5" customHeight="1" x14ac:dyDescent="0.25">
      <c r="A19" s="5" t="s">
        <v>40</v>
      </c>
      <c r="B19" s="6">
        <v>26</v>
      </c>
      <c r="C19" s="6">
        <v>9</v>
      </c>
      <c r="D19" s="6">
        <v>86</v>
      </c>
      <c r="E19" s="7">
        <v>240000</v>
      </c>
      <c r="F19" s="6">
        <v>500</v>
      </c>
      <c r="G19" s="6">
        <v>4</v>
      </c>
      <c r="H19" s="34"/>
      <c r="I19" s="34"/>
      <c r="J19" s="34"/>
      <c r="K19" s="34"/>
      <c r="L19" s="34"/>
      <c r="M19" s="34"/>
      <c r="N19" s="8">
        <f t="shared" si="0"/>
        <v>380000.16307496501</v>
      </c>
      <c r="O19" s="8">
        <f t="shared" si="1"/>
        <v>170000.0971205605</v>
      </c>
      <c r="P19" s="8">
        <f t="shared" si="2"/>
        <v>170000.0971205605</v>
      </c>
      <c r="Q19" s="10" t="str">
        <f t="shared" si="3"/>
        <v>Cluster 2</v>
      </c>
      <c r="R19" s="11"/>
    </row>
    <row r="20" spans="1:18" ht="25.5" customHeight="1" x14ac:dyDescent="0.25">
      <c r="A20" s="5" t="s">
        <v>41</v>
      </c>
      <c r="B20" s="6">
        <v>60</v>
      </c>
      <c r="C20" s="6">
        <v>5</v>
      </c>
      <c r="D20" s="6">
        <v>98</v>
      </c>
      <c r="E20" s="7">
        <v>580000</v>
      </c>
      <c r="F20" s="6">
        <v>190</v>
      </c>
      <c r="G20" s="6">
        <v>2</v>
      </c>
      <c r="H20" s="34"/>
      <c r="I20" s="34"/>
      <c r="J20" s="34"/>
      <c r="K20" s="34"/>
      <c r="L20" s="34"/>
      <c r="M20" s="34"/>
      <c r="N20" s="8">
        <f t="shared" si="0"/>
        <v>40000.020062494972</v>
      </c>
      <c r="O20" s="8">
        <f t="shared" si="1"/>
        <v>510000.01787156833</v>
      </c>
      <c r="P20" s="8">
        <f t="shared" si="2"/>
        <v>40000.020062494972</v>
      </c>
      <c r="Q20" s="10" t="str">
        <f t="shared" si="3"/>
        <v>Cluster 1</v>
      </c>
      <c r="R20" s="11"/>
    </row>
    <row r="21" spans="1:18" ht="25.5" customHeight="1" x14ac:dyDescent="0.25">
      <c r="A21" s="28" t="s">
        <v>42</v>
      </c>
      <c r="B21" s="29">
        <v>42</v>
      </c>
      <c r="C21" s="29">
        <v>19</v>
      </c>
      <c r="D21" s="29">
        <v>70</v>
      </c>
      <c r="E21" s="30">
        <v>70000</v>
      </c>
      <c r="F21" s="29">
        <v>320</v>
      </c>
      <c r="G21" s="29">
        <v>7</v>
      </c>
      <c r="H21" s="34"/>
      <c r="I21" s="34"/>
      <c r="J21" s="34"/>
      <c r="K21" s="34"/>
      <c r="L21" s="34"/>
      <c r="M21" s="34"/>
      <c r="N21" s="8">
        <f t="shared" si="0"/>
        <v>550000.02749999927</v>
      </c>
      <c r="O21" s="8">
        <f t="shared" si="1"/>
        <v>0</v>
      </c>
      <c r="P21" s="8">
        <f t="shared" si="2"/>
        <v>0</v>
      </c>
      <c r="Q21" s="10" t="str">
        <f t="shared" si="3"/>
        <v>Cluster 2</v>
      </c>
      <c r="R21" s="11"/>
    </row>
    <row r="22" spans="1:18" ht="25.5" customHeight="1" x14ac:dyDescent="0.25">
      <c r="A22" s="5" t="s">
        <v>43</v>
      </c>
      <c r="B22" s="6">
        <v>33</v>
      </c>
      <c r="C22" s="6">
        <v>12</v>
      </c>
      <c r="D22" s="6">
        <v>80</v>
      </c>
      <c r="E22" s="7">
        <v>170000</v>
      </c>
      <c r="F22" s="6">
        <v>700</v>
      </c>
      <c r="G22" s="6">
        <v>5</v>
      </c>
      <c r="H22" s="34"/>
      <c r="I22" s="34"/>
      <c r="J22" s="34"/>
      <c r="K22" s="34"/>
      <c r="L22" s="34"/>
      <c r="M22" s="34"/>
      <c r="N22" s="8">
        <f t="shared" si="0"/>
        <v>450000.3374309846</v>
      </c>
      <c r="O22" s="8">
        <f t="shared" si="1"/>
        <v>100000.72316738515</v>
      </c>
      <c r="P22" s="8">
        <f t="shared" si="2"/>
        <v>100000.72316738515</v>
      </c>
      <c r="Q22" s="10" t="str">
        <f t="shared" si="3"/>
        <v>Cluster 2</v>
      </c>
      <c r="R22" s="11"/>
    </row>
    <row r="24" spans="1:18" ht="19.5" customHeight="1" x14ac:dyDescent="0.25">
      <c r="A24" s="19" t="s">
        <v>44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31.5" customHeight="1" x14ac:dyDescent="0.25">
      <c r="A25" s="22" t="s">
        <v>45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x14ac:dyDescent="0.25">
      <c r="A26" s="18" t="s">
        <v>46</v>
      </c>
      <c r="B26" s="18"/>
      <c r="C26" s="18"/>
      <c r="D26" s="18"/>
      <c r="E26" s="12"/>
    </row>
    <row r="28" spans="1:18" ht="19.5" customHeight="1" x14ac:dyDescent="0.25">
      <c r="A28" s="19" t="s">
        <v>47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x14ac:dyDescent="0.25">
      <c r="A29" s="1" t="s">
        <v>48</v>
      </c>
      <c r="B29" s="1" t="s">
        <v>49</v>
      </c>
      <c r="C29" s="20" t="s">
        <v>3</v>
      </c>
      <c r="D29" s="20"/>
      <c r="E29" s="20"/>
      <c r="F29" s="2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30" customHeight="1" x14ac:dyDescent="0.25">
      <c r="A30" s="13">
        <v>1</v>
      </c>
      <c r="B30" s="13" t="s">
        <v>11</v>
      </c>
      <c r="C30" s="17" t="s">
        <v>12</v>
      </c>
      <c r="D30" s="17"/>
      <c r="E30" s="17"/>
      <c r="F30" s="17"/>
    </row>
    <row r="31" spans="1:18" ht="30" customHeight="1" x14ac:dyDescent="0.25">
      <c r="A31" s="13">
        <v>2</v>
      </c>
      <c r="B31" s="13" t="s">
        <v>14</v>
      </c>
      <c r="C31" s="17" t="s">
        <v>15</v>
      </c>
      <c r="D31" s="17"/>
      <c r="E31" s="17"/>
      <c r="F31" s="17"/>
    </row>
    <row r="32" spans="1:18" ht="30" customHeight="1" x14ac:dyDescent="0.25">
      <c r="A32" s="13">
        <v>3</v>
      </c>
      <c r="B32" s="13" t="s">
        <v>16</v>
      </c>
      <c r="C32" s="17" t="s">
        <v>17</v>
      </c>
      <c r="D32" s="17"/>
      <c r="E32" s="17"/>
      <c r="F32" s="17"/>
    </row>
  </sheetData>
  <mergeCells count="9">
    <mergeCell ref="A1:R1"/>
    <mergeCell ref="A24:R24"/>
    <mergeCell ref="A25:R25"/>
    <mergeCell ref="C32:F32"/>
    <mergeCell ref="A26:D26"/>
    <mergeCell ref="A28:R28"/>
    <mergeCell ref="C29:F29"/>
    <mergeCell ref="C30:F30"/>
    <mergeCell ref="C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01B5-CB45-4FCE-89DC-0CC71C6AAE42}">
  <sheetPr>
    <tabColor rgb="FFFF0000"/>
  </sheetPr>
  <dimension ref="A1:S32"/>
  <sheetViews>
    <sheetView showGridLines="0" tabSelected="1" topLeftCell="J3" zoomScaleNormal="100" workbookViewId="0">
      <selection activeCell="S8" sqref="S8"/>
    </sheetView>
  </sheetViews>
  <sheetFormatPr baseColWidth="10" defaultColWidth="8.7109375" defaultRowHeight="15" x14ac:dyDescent="0.25"/>
  <cols>
    <col min="1" max="1" width="24" customWidth="1"/>
    <col min="2" max="2" width="13" customWidth="1"/>
    <col min="3" max="4" width="12" customWidth="1"/>
    <col min="5" max="5" width="16" customWidth="1"/>
    <col min="6" max="6" width="12" customWidth="1"/>
    <col min="7" max="7" width="13" customWidth="1"/>
    <col min="8" max="11" width="10" customWidth="1"/>
    <col min="12" max="12" width="11" customWidth="1"/>
    <col min="13" max="13" width="10" customWidth="1"/>
    <col min="14" max="15" width="12" customWidth="1"/>
    <col min="16" max="16" width="10" customWidth="1"/>
    <col min="17" max="17" width="22" customWidth="1"/>
    <col min="18" max="18" width="42" customWidth="1"/>
    <col min="19" max="19" width="11.85546875" bestFit="1" customWidth="1"/>
  </cols>
  <sheetData>
    <row r="1" spans="1:19" ht="30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3" spans="1:19" ht="25.5" customHeight="1" x14ac:dyDescent="0.25">
      <c r="A3" s="2" t="s">
        <v>1</v>
      </c>
      <c r="B3" s="2" t="s">
        <v>2</v>
      </c>
      <c r="C3" s="2" t="s">
        <v>3</v>
      </c>
      <c r="H3" s="14" t="s">
        <v>4</v>
      </c>
      <c r="I3" s="14" t="s">
        <v>5</v>
      </c>
      <c r="J3" s="14" t="s">
        <v>6</v>
      </c>
      <c r="K3" s="14" t="s">
        <v>7</v>
      </c>
      <c r="L3" s="14" t="s">
        <v>8</v>
      </c>
      <c r="M3" s="14" t="s">
        <v>9</v>
      </c>
    </row>
    <row r="4" spans="1:19" ht="39.75" customHeight="1" x14ac:dyDescent="0.25">
      <c r="A4" s="26" t="s">
        <v>10</v>
      </c>
      <c r="B4" s="27" t="s">
        <v>11</v>
      </c>
      <c r="C4" s="27" t="s">
        <v>12</v>
      </c>
      <c r="H4" s="24">
        <f>+AVERAGEIFS('Por Resolver'!B$8:B$22,'Por Resolver'!$Q$8:$Q$22,'Por Resolver'!$Q$8)</f>
        <v>60</v>
      </c>
      <c r="I4" s="24">
        <f>+AVERAGEIFS('Por Resolver'!C$8:C$22,'Por Resolver'!$Q$8:$Q$22,'Por Resolver'!$Q$8)</f>
        <v>5.4</v>
      </c>
      <c r="J4" s="24">
        <f>+AVERAGEIFS('Por Resolver'!D$8:D$22,'Por Resolver'!$Q$8:$Q$22,'Por Resolver'!$Q$8)</f>
        <v>97</v>
      </c>
      <c r="K4" s="24">
        <f>+AVERAGEIFS('Por Resolver'!E$8:E$22,'Por Resolver'!$Q$8:$Q$22,'Por Resolver'!$Q$8)</f>
        <v>580000</v>
      </c>
      <c r="L4" s="24">
        <f>+AVERAGEIFS('Por Resolver'!F$8:F$22,'Por Resolver'!$Q$8:$Q$22,'Por Resolver'!$Q$8)</f>
        <v>200</v>
      </c>
      <c r="M4" s="24">
        <f>+AVERAGEIFS('Por Resolver'!G$8:G$22,'Por Resolver'!$Q$8:$Q$22,'Por Resolver'!$Q$8)</f>
        <v>2</v>
      </c>
    </row>
    <row r="5" spans="1:19" ht="39.75" customHeight="1" x14ac:dyDescent="0.25">
      <c r="A5" s="31" t="s">
        <v>13</v>
      </c>
      <c r="B5" s="32" t="s">
        <v>14</v>
      </c>
      <c r="C5" s="32" t="s">
        <v>15</v>
      </c>
      <c r="H5" s="29">
        <f>+AVERAGEIFS('Por Resolver'!B$8:B$22,'Por Resolver'!$Q$8:$Q$22,'Por Resolver'!$Q$9)</f>
        <v>37.4</v>
      </c>
      <c r="I5" s="29">
        <f>+AVERAGEIFS('Por Resolver'!C$8:C$22,'Por Resolver'!$Q$8:$Q$22,'Por Resolver'!$Q$9)</f>
        <v>15.4</v>
      </c>
      <c r="J5" s="29">
        <f>+AVERAGEIFS('Por Resolver'!D$8:D$22,'Por Resolver'!$Q$8:$Q$22,'Por Resolver'!$Q$9)</f>
        <v>75.599999999999994</v>
      </c>
      <c r="K5" s="29">
        <f>+AVERAGEIFS('Por Resolver'!E$8:E$22,'Por Resolver'!$Q$8:$Q$22,'Por Resolver'!$Q$9)</f>
        <v>137000</v>
      </c>
      <c r="L5" s="29">
        <f>+AVERAGEIFS('Por Resolver'!F$8:F$22,'Por Resolver'!$Q$8:$Q$22,'Por Resolver'!$Q$9)</f>
        <v>467</v>
      </c>
      <c r="M5" s="29">
        <f>+AVERAGEIFS('Por Resolver'!G$8:G$22,'Por Resolver'!$Q$8:$Q$22,'Por Resolver'!$Q$9)</f>
        <v>6.1</v>
      </c>
    </row>
    <row r="6" spans="1:19" x14ac:dyDescent="0.25">
      <c r="H6" s="16"/>
      <c r="I6" s="16"/>
      <c r="J6" s="16"/>
      <c r="K6" s="16"/>
      <c r="L6" s="16"/>
      <c r="M6" s="16"/>
      <c r="N6" s="16"/>
      <c r="O6" s="16"/>
      <c r="P6" s="16"/>
    </row>
    <row r="7" spans="1:19" ht="31.5" customHeight="1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14" t="s">
        <v>4</v>
      </c>
      <c r="I7" s="14" t="s">
        <v>5</v>
      </c>
      <c r="J7" s="14" t="s">
        <v>6</v>
      </c>
      <c r="K7" s="14" t="s">
        <v>7</v>
      </c>
      <c r="L7" s="14" t="s">
        <v>8</v>
      </c>
      <c r="M7" s="14" t="s">
        <v>9</v>
      </c>
      <c r="N7" s="35" t="s">
        <v>25</v>
      </c>
      <c r="O7" s="35" t="s">
        <v>26</v>
      </c>
      <c r="P7" s="14" t="s">
        <v>28</v>
      </c>
      <c r="Q7" s="4" t="s">
        <v>2</v>
      </c>
      <c r="R7" s="4" t="s">
        <v>50</v>
      </c>
    </row>
    <row r="8" spans="1:19" ht="25.5" customHeight="1" x14ac:dyDescent="0.25">
      <c r="A8" s="23" t="s">
        <v>29</v>
      </c>
      <c r="B8" s="24">
        <v>62</v>
      </c>
      <c r="C8" s="24">
        <v>5</v>
      </c>
      <c r="D8" s="24">
        <v>97</v>
      </c>
      <c r="E8" s="25">
        <v>620000</v>
      </c>
      <c r="F8" s="24">
        <v>150</v>
      </c>
      <c r="G8" s="24">
        <v>2</v>
      </c>
      <c r="H8" s="33"/>
      <c r="I8" s="33"/>
      <c r="J8" s="33"/>
      <c r="K8" s="33"/>
      <c r="L8" s="33"/>
      <c r="M8" s="33"/>
      <c r="N8" s="8">
        <f>+SQRT(($H$4-B8)^2+(C8-$I$4)^2+(D8-$J$4)^2+(E8-$K$4)^2+($L$4-F8)^2+(G8-$M$4)^2)</f>
        <v>40000.03130198775</v>
      </c>
      <c r="O8" s="8">
        <f>+SQRT(($H$5-B8)^2+(C8-$I$5)^2+(D8-$J$5)^2+(E8-$K$5)^2+($L$5-F8)^2+(G8-$M$5)^2)</f>
        <v>483000.10525577527</v>
      </c>
      <c r="P8" s="8">
        <f>+MIN(N8:O8)</f>
        <v>40000.03130198775</v>
      </c>
      <c r="Q8" s="10" t="str">
        <f>+IF(P8=N8,"Cluster 1","Cluster 2")</f>
        <v>Cluster 1</v>
      </c>
      <c r="R8" s="10" t="str">
        <f>+'Por Resolver'!Q8</f>
        <v>Cluster 1</v>
      </c>
      <c r="S8" t="b">
        <f>+Q8=R8</f>
        <v>1</v>
      </c>
    </row>
    <row r="9" spans="1:19" ht="25.5" customHeight="1" x14ac:dyDescent="0.25">
      <c r="A9" s="5" t="s">
        <v>30</v>
      </c>
      <c r="B9" s="6">
        <v>28</v>
      </c>
      <c r="C9" s="6">
        <v>10</v>
      </c>
      <c r="D9" s="6">
        <v>85</v>
      </c>
      <c r="E9" s="7">
        <v>220000</v>
      </c>
      <c r="F9" s="6">
        <v>550</v>
      </c>
      <c r="G9" s="6">
        <v>4</v>
      </c>
      <c r="H9" s="34"/>
      <c r="I9" s="34"/>
      <c r="J9" s="34"/>
      <c r="K9" s="34"/>
      <c r="L9" s="34"/>
      <c r="M9" s="34"/>
      <c r="N9" s="8">
        <f t="shared" ref="N9:N22" si="0">+SQRT(($H$4-B9)^2+(C9-$I$4)^2+(D9-$J$4)^2+(E9-$K$4)^2+($L$4-F9)^2+(G9-$M$4)^2)</f>
        <v>360000.17179601459</v>
      </c>
      <c r="O9" s="8">
        <f t="shared" ref="O9:O22" si="1">+SQRT(($H$5-B9)^2+(C9-$I$5)^2+(D9-$J$5)^2+(E9-$K$5)^2+($L$5-F9)^2+(G9-$M$5)^2)</f>
        <v>83000.042766796207</v>
      </c>
      <c r="P9" s="8">
        <f t="shared" ref="P9:P22" si="2">+MIN(N9:O9)</f>
        <v>83000.042766796207</v>
      </c>
      <c r="Q9" s="10" t="str">
        <f t="shared" ref="Q9:Q22" si="3">+IF(P9=N9,"Cluster 1","Cluster 2")</f>
        <v>Cluster 2</v>
      </c>
      <c r="R9" s="10" t="str">
        <f>+'Por Resolver'!Q9</f>
        <v>Cluster 2</v>
      </c>
      <c r="S9" t="b">
        <f t="shared" ref="S9:S22" si="4">+Q9=R9</f>
        <v>1</v>
      </c>
    </row>
    <row r="10" spans="1:19" ht="25.5" customHeight="1" x14ac:dyDescent="0.25">
      <c r="A10" s="5" t="s">
        <v>31</v>
      </c>
      <c r="B10" s="6">
        <v>45</v>
      </c>
      <c r="C10" s="6">
        <v>20</v>
      </c>
      <c r="D10" s="6">
        <v>68</v>
      </c>
      <c r="E10" s="7">
        <v>60000</v>
      </c>
      <c r="F10" s="6">
        <v>350</v>
      </c>
      <c r="G10" s="6">
        <v>8</v>
      </c>
      <c r="H10" s="34"/>
      <c r="I10" s="34"/>
      <c r="J10" s="34"/>
      <c r="K10" s="34"/>
      <c r="L10" s="34"/>
      <c r="M10" s="34"/>
      <c r="N10" s="8">
        <f t="shared" si="0"/>
        <v>520000.02289919183</v>
      </c>
      <c r="O10" s="8">
        <f t="shared" si="1"/>
        <v>77000.089800532049</v>
      </c>
      <c r="P10" s="8">
        <f t="shared" si="2"/>
        <v>77000.089800532049</v>
      </c>
      <c r="Q10" s="10" t="str">
        <f t="shared" si="3"/>
        <v>Cluster 2</v>
      </c>
      <c r="R10" s="10" t="str">
        <f>+'Por Resolver'!Q10</f>
        <v>Cluster 2</v>
      </c>
      <c r="S10" t="b">
        <f t="shared" si="4"/>
        <v>1</v>
      </c>
    </row>
    <row r="11" spans="1:19" ht="25.5" customHeight="1" x14ac:dyDescent="0.25">
      <c r="A11" s="5" t="s">
        <v>32</v>
      </c>
      <c r="B11" s="6">
        <v>58</v>
      </c>
      <c r="C11" s="6">
        <v>6</v>
      </c>
      <c r="D11" s="6">
        <v>96</v>
      </c>
      <c r="E11" s="7">
        <v>540000</v>
      </c>
      <c r="F11" s="6">
        <v>220</v>
      </c>
      <c r="G11" s="6">
        <v>2</v>
      </c>
      <c r="H11" s="34"/>
      <c r="I11" s="34"/>
      <c r="J11" s="34"/>
      <c r="K11" s="34"/>
      <c r="L11" s="34"/>
      <c r="M11" s="34"/>
      <c r="N11" s="8">
        <f t="shared" si="0"/>
        <v>40000.005066999678</v>
      </c>
      <c r="O11" s="8">
        <f t="shared" si="1"/>
        <v>403000.07686685369</v>
      </c>
      <c r="P11" s="8">
        <f t="shared" si="2"/>
        <v>40000.005066999678</v>
      </c>
      <c r="Q11" s="10" t="str">
        <f t="shared" si="3"/>
        <v>Cluster 1</v>
      </c>
      <c r="R11" s="10" t="str">
        <f>+'Por Resolver'!Q11</f>
        <v>Cluster 1</v>
      </c>
      <c r="S11" t="b">
        <f t="shared" si="4"/>
        <v>1</v>
      </c>
    </row>
    <row r="12" spans="1:19" ht="25.5" customHeight="1" x14ac:dyDescent="0.25">
      <c r="A12" s="5" t="s">
        <v>33</v>
      </c>
      <c r="B12" s="6">
        <v>50</v>
      </c>
      <c r="C12" s="6">
        <v>22</v>
      </c>
      <c r="D12" s="6">
        <v>65</v>
      </c>
      <c r="E12" s="7">
        <v>45000</v>
      </c>
      <c r="F12" s="6">
        <v>400</v>
      </c>
      <c r="G12" s="6">
        <v>9</v>
      </c>
      <c r="H12" s="34"/>
      <c r="I12" s="34"/>
      <c r="J12" s="34"/>
      <c r="K12" s="34"/>
      <c r="L12" s="34"/>
      <c r="M12" s="34"/>
      <c r="N12" s="8">
        <f t="shared" si="0"/>
        <v>535000.03873697051</v>
      </c>
      <c r="O12" s="8">
        <f t="shared" si="1"/>
        <v>92000.026152659324</v>
      </c>
      <c r="P12" s="8">
        <f t="shared" si="2"/>
        <v>92000.026152659324</v>
      </c>
      <c r="Q12" s="10" t="str">
        <f t="shared" si="3"/>
        <v>Cluster 2</v>
      </c>
      <c r="R12" s="10" t="str">
        <f>+'Por Resolver'!Q12</f>
        <v>Cluster 2</v>
      </c>
      <c r="S12" t="b">
        <f t="shared" si="4"/>
        <v>1</v>
      </c>
    </row>
    <row r="13" spans="1:19" ht="25.5" customHeight="1" x14ac:dyDescent="0.25">
      <c r="A13" s="5" t="s">
        <v>34</v>
      </c>
      <c r="B13" s="6">
        <v>24</v>
      </c>
      <c r="C13" s="6">
        <v>8</v>
      </c>
      <c r="D13" s="6">
        <v>88</v>
      </c>
      <c r="E13" s="7">
        <v>260000</v>
      </c>
      <c r="F13" s="6">
        <v>480</v>
      </c>
      <c r="G13" s="6">
        <v>3</v>
      </c>
      <c r="H13" s="34"/>
      <c r="I13" s="34"/>
      <c r="J13" s="34"/>
      <c r="K13" s="34"/>
      <c r="L13" s="34"/>
      <c r="M13" s="34"/>
      <c r="N13" s="8">
        <f t="shared" si="0"/>
        <v>320000.12466366321</v>
      </c>
      <c r="O13" s="8">
        <f t="shared" si="1"/>
        <v>123000.00230361786</v>
      </c>
      <c r="P13" s="8">
        <f t="shared" si="2"/>
        <v>123000.00230361786</v>
      </c>
      <c r="Q13" s="10" t="str">
        <f t="shared" si="3"/>
        <v>Cluster 2</v>
      </c>
      <c r="R13" s="10" t="str">
        <f>+'Por Resolver'!Q13</f>
        <v>Cluster 2</v>
      </c>
      <c r="S13" t="b">
        <f t="shared" si="4"/>
        <v>1</v>
      </c>
    </row>
    <row r="14" spans="1:19" ht="25.5" customHeight="1" x14ac:dyDescent="0.25">
      <c r="A14" s="5" t="s">
        <v>35</v>
      </c>
      <c r="B14" s="6">
        <v>65</v>
      </c>
      <c r="C14" s="6">
        <v>4</v>
      </c>
      <c r="D14" s="6">
        <v>99</v>
      </c>
      <c r="E14" s="7">
        <v>700000</v>
      </c>
      <c r="F14" s="6">
        <v>180</v>
      </c>
      <c r="G14" s="6">
        <v>1</v>
      </c>
      <c r="H14" s="34"/>
      <c r="I14" s="34"/>
      <c r="J14" s="34"/>
      <c r="K14" s="34"/>
      <c r="L14" s="34"/>
      <c r="M14" s="34"/>
      <c r="N14" s="8">
        <f t="shared" si="0"/>
        <v>120000.00179983332</v>
      </c>
      <c r="O14" s="8">
        <f t="shared" si="1"/>
        <v>563000.07445318333</v>
      </c>
      <c r="P14" s="8">
        <f t="shared" si="2"/>
        <v>120000.00179983332</v>
      </c>
      <c r="Q14" s="10" t="str">
        <f t="shared" si="3"/>
        <v>Cluster 1</v>
      </c>
      <c r="R14" s="10" t="str">
        <f>+'Por Resolver'!Q14</f>
        <v>Cluster 1</v>
      </c>
      <c r="S14" t="b">
        <f t="shared" si="4"/>
        <v>1</v>
      </c>
    </row>
    <row r="15" spans="1:19" ht="25.5" customHeight="1" x14ac:dyDescent="0.25">
      <c r="A15" s="5" t="s">
        <v>36</v>
      </c>
      <c r="B15" s="6">
        <v>40</v>
      </c>
      <c r="C15" s="6">
        <v>18</v>
      </c>
      <c r="D15" s="6">
        <v>72</v>
      </c>
      <c r="E15" s="7">
        <v>80000</v>
      </c>
      <c r="F15" s="6">
        <v>300</v>
      </c>
      <c r="G15" s="6">
        <v>7</v>
      </c>
      <c r="H15" s="34"/>
      <c r="I15" s="34"/>
      <c r="J15" s="34"/>
      <c r="K15" s="34"/>
      <c r="L15" s="34"/>
      <c r="M15" s="34"/>
      <c r="N15" s="8">
        <f t="shared" si="0"/>
        <v>500000.01120875991</v>
      </c>
      <c r="O15" s="8">
        <f t="shared" si="1"/>
        <v>57000.244879210826</v>
      </c>
      <c r="P15" s="8">
        <f t="shared" si="2"/>
        <v>57000.244879210826</v>
      </c>
      <c r="Q15" s="10" t="str">
        <f t="shared" si="3"/>
        <v>Cluster 2</v>
      </c>
      <c r="R15" s="10" t="str">
        <f>+'Por Resolver'!Q15</f>
        <v>Cluster 2</v>
      </c>
      <c r="S15" t="b">
        <f t="shared" si="4"/>
        <v>1</v>
      </c>
    </row>
    <row r="16" spans="1:19" ht="25.5" customHeight="1" x14ac:dyDescent="0.25">
      <c r="A16" s="5" t="s">
        <v>37</v>
      </c>
      <c r="B16" s="6">
        <v>31</v>
      </c>
      <c r="C16" s="6">
        <v>11</v>
      </c>
      <c r="D16" s="6">
        <v>82</v>
      </c>
      <c r="E16" s="7">
        <v>190000</v>
      </c>
      <c r="F16" s="6">
        <v>620</v>
      </c>
      <c r="G16" s="6">
        <v>5</v>
      </c>
      <c r="H16" s="34"/>
      <c r="I16" s="34"/>
      <c r="J16" s="34"/>
      <c r="K16" s="34"/>
      <c r="L16" s="34"/>
      <c r="M16" s="34"/>
      <c r="N16" s="8">
        <f t="shared" si="0"/>
        <v>390000.22757218999</v>
      </c>
      <c r="O16" s="8">
        <f t="shared" si="1"/>
        <v>53000.221806045301</v>
      </c>
      <c r="P16" s="8">
        <f t="shared" si="2"/>
        <v>53000.221806045301</v>
      </c>
      <c r="Q16" s="10" t="str">
        <f t="shared" si="3"/>
        <v>Cluster 2</v>
      </c>
      <c r="R16" s="10" t="str">
        <f>+'Por Resolver'!Q16</f>
        <v>Cluster 2</v>
      </c>
      <c r="S16" t="b">
        <f t="shared" si="4"/>
        <v>1</v>
      </c>
    </row>
    <row r="17" spans="1:19" ht="25.5" customHeight="1" x14ac:dyDescent="0.25">
      <c r="A17" s="5" t="s">
        <v>38</v>
      </c>
      <c r="B17" s="6">
        <v>55</v>
      </c>
      <c r="C17" s="6">
        <v>7</v>
      </c>
      <c r="D17" s="6">
        <v>95</v>
      </c>
      <c r="E17" s="7">
        <v>460000</v>
      </c>
      <c r="F17" s="6">
        <v>260</v>
      </c>
      <c r="G17" s="6">
        <v>3</v>
      </c>
      <c r="H17" s="34"/>
      <c r="I17" s="34"/>
      <c r="J17" s="34"/>
      <c r="K17" s="34"/>
      <c r="L17" s="34"/>
      <c r="M17" s="34"/>
      <c r="N17" s="8">
        <f t="shared" si="0"/>
        <v>120000.01513566572</v>
      </c>
      <c r="O17" s="8">
        <f t="shared" si="1"/>
        <v>323000.06751592172</v>
      </c>
      <c r="P17" s="8">
        <f t="shared" si="2"/>
        <v>120000.01513566572</v>
      </c>
      <c r="Q17" s="10" t="str">
        <f t="shared" si="3"/>
        <v>Cluster 1</v>
      </c>
      <c r="R17" s="10" t="str">
        <f>+'Por Resolver'!Q17</f>
        <v>Cluster 1</v>
      </c>
      <c r="S17" t="b">
        <f t="shared" si="4"/>
        <v>1</v>
      </c>
    </row>
    <row r="18" spans="1:19" ht="25.5" customHeight="1" x14ac:dyDescent="0.25">
      <c r="A18" s="5" t="s">
        <v>39</v>
      </c>
      <c r="B18" s="6">
        <v>55</v>
      </c>
      <c r="C18" s="6">
        <v>25</v>
      </c>
      <c r="D18" s="6">
        <v>60</v>
      </c>
      <c r="E18" s="7">
        <v>35000</v>
      </c>
      <c r="F18" s="6">
        <v>450</v>
      </c>
      <c r="G18" s="6">
        <v>9</v>
      </c>
      <c r="H18" s="34"/>
      <c r="I18" s="34"/>
      <c r="J18" s="34"/>
      <c r="K18" s="34"/>
      <c r="L18" s="34"/>
      <c r="M18" s="34"/>
      <c r="N18" s="8">
        <f t="shared" si="0"/>
        <v>545000.05901573994</v>
      </c>
      <c r="O18" s="8">
        <f t="shared" si="1"/>
        <v>102000.00462102931</v>
      </c>
      <c r="P18" s="8">
        <f t="shared" si="2"/>
        <v>102000.00462102931</v>
      </c>
      <c r="Q18" s="10" t="str">
        <f t="shared" si="3"/>
        <v>Cluster 2</v>
      </c>
      <c r="R18" s="10" t="str">
        <f>+'Por Resolver'!Q18</f>
        <v>Cluster 2</v>
      </c>
      <c r="S18" t="b">
        <f t="shared" si="4"/>
        <v>1</v>
      </c>
    </row>
    <row r="19" spans="1:19" ht="25.5" customHeight="1" x14ac:dyDescent="0.25">
      <c r="A19" s="5" t="s">
        <v>40</v>
      </c>
      <c r="B19" s="6">
        <v>26</v>
      </c>
      <c r="C19" s="6">
        <v>9</v>
      </c>
      <c r="D19" s="6">
        <v>86</v>
      </c>
      <c r="E19" s="7">
        <v>240000</v>
      </c>
      <c r="F19" s="6">
        <v>500</v>
      </c>
      <c r="G19" s="6">
        <v>4</v>
      </c>
      <c r="H19" s="34"/>
      <c r="I19" s="34"/>
      <c r="J19" s="34"/>
      <c r="K19" s="34"/>
      <c r="L19" s="34"/>
      <c r="M19" s="34"/>
      <c r="N19" s="8">
        <f t="shared" si="0"/>
        <v>340000.13425579702</v>
      </c>
      <c r="O19" s="8">
        <f t="shared" si="1"/>
        <v>103000.0066625726</v>
      </c>
      <c r="P19" s="8">
        <f t="shared" si="2"/>
        <v>103000.0066625726</v>
      </c>
      <c r="Q19" s="10" t="str">
        <f t="shared" si="3"/>
        <v>Cluster 2</v>
      </c>
      <c r="R19" s="10" t="str">
        <f>+'Por Resolver'!Q19</f>
        <v>Cluster 2</v>
      </c>
      <c r="S19" t="b">
        <f t="shared" si="4"/>
        <v>1</v>
      </c>
    </row>
    <row r="20" spans="1:19" ht="25.5" customHeight="1" x14ac:dyDescent="0.25">
      <c r="A20" s="5" t="s">
        <v>41</v>
      </c>
      <c r="B20" s="6">
        <v>60</v>
      </c>
      <c r="C20" s="6">
        <v>5</v>
      </c>
      <c r="D20" s="6">
        <v>98</v>
      </c>
      <c r="E20" s="7">
        <v>580000</v>
      </c>
      <c r="F20" s="6">
        <v>190</v>
      </c>
      <c r="G20" s="6">
        <v>2</v>
      </c>
      <c r="H20" s="34"/>
      <c r="I20" s="34"/>
      <c r="J20" s="34"/>
      <c r="K20" s="34"/>
      <c r="L20" s="34"/>
      <c r="M20" s="34"/>
      <c r="N20" s="8">
        <f t="shared" si="0"/>
        <v>10.057832768544126</v>
      </c>
      <c r="O20" s="8">
        <f t="shared" si="1"/>
        <v>443000.08788542019</v>
      </c>
      <c r="P20" s="8">
        <f t="shared" si="2"/>
        <v>10.057832768544126</v>
      </c>
      <c r="Q20" s="10" t="str">
        <f t="shared" si="3"/>
        <v>Cluster 1</v>
      </c>
      <c r="R20" s="10" t="str">
        <f>+'Por Resolver'!Q20</f>
        <v>Cluster 1</v>
      </c>
      <c r="S20" t="b">
        <f t="shared" si="4"/>
        <v>1</v>
      </c>
    </row>
    <row r="21" spans="1:19" ht="25.5" customHeight="1" x14ac:dyDescent="0.25">
      <c r="A21" s="28" t="s">
        <v>42</v>
      </c>
      <c r="B21" s="29">
        <v>42</v>
      </c>
      <c r="C21" s="29">
        <v>19</v>
      </c>
      <c r="D21" s="29">
        <v>70</v>
      </c>
      <c r="E21" s="30">
        <v>70000</v>
      </c>
      <c r="F21" s="29">
        <v>320</v>
      </c>
      <c r="G21" s="29">
        <v>7</v>
      </c>
      <c r="H21" s="34"/>
      <c r="I21" s="34"/>
      <c r="J21" s="34"/>
      <c r="K21" s="34"/>
      <c r="L21" s="34"/>
      <c r="M21" s="34"/>
      <c r="N21" s="8">
        <f t="shared" si="0"/>
        <v>510000.01535584289</v>
      </c>
      <c r="O21" s="8">
        <f t="shared" si="1"/>
        <v>67000.161755700261</v>
      </c>
      <c r="P21" s="8">
        <f t="shared" si="2"/>
        <v>67000.161755700261</v>
      </c>
      <c r="Q21" s="10" t="str">
        <f t="shared" si="3"/>
        <v>Cluster 2</v>
      </c>
      <c r="R21" s="10" t="str">
        <f>+'Por Resolver'!Q21</f>
        <v>Cluster 2</v>
      </c>
      <c r="S21" t="b">
        <f t="shared" si="4"/>
        <v>1</v>
      </c>
    </row>
    <row r="22" spans="1:19" ht="25.5" customHeight="1" x14ac:dyDescent="0.25">
      <c r="A22" s="5" t="s">
        <v>43</v>
      </c>
      <c r="B22" s="6">
        <v>33</v>
      </c>
      <c r="C22" s="6">
        <v>12</v>
      </c>
      <c r="D22" s="6">
        <v>80</v>
      </c>
      <c r="E22" s="7">
        <v>170000</v>
      </c>
      <c r="F22" s="6">
        <v>700</v>
      </c>
      <c r="G22" s="6">
        <v>5</v>
      </c>
      <c r="H22" s="34"/>
      <c r="I22" s="34"/>
      <c r="J22" s="34"/>
      <c r="K22" s="34"/>
      <c r="L22" s="34"/>
      <c r="M22" s="34"/>
      <c r="N22" s="8">
        <f t="shared" si="0"/>
        <v>410000.30618349544</v>
      </c>
      <c r="O22" s="8">
        <f t="shared" si="1"/>
        <v>33000.823330486768</v>
      </c>
      <c r="P22" s="8">
        <f t="shared" si="2"/>
        <v>33000.823330486768</v>
      </c>
      <c r="Q22" s="10" t="str">
        <f t="shared" si="3"/>
        <v>Cluster 2</v>
      </c>
      <c r="R22" s="10" t="str">
        <f>+'Por Resolver'!Q22</f>
        <v>Cluster 2</v>
      </c>
      <c r="S22" t="b">
        <f t="shared" si="4"/>
        <v>1</v>
      </c>
    </row>
    <row r="24" spans="1:19" ht="19.5" customHeight="1" x14ac:dyDescent="0.25">
      <c r="A24" s="19" t="s">
        <v>44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9" ht="31.5" customHeight="1" x14ac:dyDescent="0.25">
      <c r="A25" s="22" t="s">
        <v>45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9" x14ac:dyDescent="0.25">
      <c r="A26" s="18" t="s">
        <v>46</v>
      </c>
      <c r="B26" s="18"/>
      <c r="C26" s="18"/>
      <c r="D26" s="18"/>
      <c r="E26" s="12"/>
    </row>
    <row r="28" spans="1:19" ht="19.5" customHeight="1" x14ac:dyDescent="0.25">
      <c r="A28" s="19" t="s">
        <v>47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9" x14ac:dyDescent="0.25">
      <c r="A29" s="1" t="s">
        <v>48</v>
      </c>
      <c r="B29" s="1" t="s">
        <v>49</v>
      </c>
      <c r="C29" s="20" t="s">
        <v>3</v>
      </c>
      <c r="D29" s="20"/>
      <c r="E29" s="20"/>
      <c r="F29" s="2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9" ht="30" customHeight="1" x14ac:dyDescent="0.25">
      <c r="A30" s="13">
        <v>1</v>
      </c>
      <c r="B30" s="13" t="s">
        <v>11</v>
      </c>
      <c r="C30" s="17" t="s">
        <v>12</v>
      </c>
      <c r="D30" s="17"/>
      <c r="E30" s="17"/>
      <c r="F30" s="17"/>
    </row>
    <row r="31" spans="1:19" ht="30" customHeight="1" x14ac:dyDescent="0.25">
      <c r="A31" s="13">
        <v>2</v>
      </c>
      <c r="B31" s="13" t="s">
        <v>14</v>
      </c>
      <c r="C31" s="17" t="s">
        <v>15</v>
      </c>
      <c r="D31" s="17"/>
      <c r="E31" s="17"/>
      <c r="F31" s="17"/>
    </row>
    <row r="32" spans="1:19" ht="30" customHeight="1" x14ac:dyDescent="0.25">
      <c r="A32" s="13">
        <v>3</v>
      </c>
      <c r="B32" s="13" t="s">
        <v>16</v>
      </c>
      <c r="C32" s="17" t="s">
        <v>17</v>
      </c>
      <c r="D32" s="17"/>
      <c r="E32" s="17"/>
      <c r="F32" s="17"/>
    </row>
  </sheetData>
  <mergeCells count="9">
    <mergeCell ref="C30:F30"/>
    <mergeCell ref="C31:F31"/>
    <mergeCell ref="C32:F32"/>
    <mergeCell ref="A1:R1"/>
    <mergeCell ref="A24:R24"/>
    <mergeCell ref="A25:R25"/>
    <mergeCell ref="A26:D26"/>
    <mergeCell ref="A28:R28"/>
    <mergeCell ref="C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7B0E-3C62-40C1-AD07-7C9E981A6325}">
  <dimension ref="A1:S32"/>
  <sheetViews>
    <sheetView showGridLines="0" zoomScaleNormal="100" workbookViewId="0">
      <selection activeCell="A5" sqref="A5:C5"/>
    </sheetView>
  </sheetViews>
  <sheetFormatPr baseColWidth="10" defaultColWidth="8.7109375" defaultRowHeight="15" x14ac:dyDescent="0.25"/>
  <cols>
    <col min="1" max="1" width="24" customWidth="1"/>
    <col min="2" max="2" width="13" customWidth="1"/>
    <col min="3" max="4" width="12" customWidth="1"/>
    <col min="5" max="5" width="16" customWidth="1"/>
    <col min="6" max="6" width="12" customWidth="1"/>
    <col min="7" max="7" width="13" customWidth="1"/>
    <col min="8" max="11" width="10" customWidth="1"/>
    <col min="12" max="12" width="11" customWidth="1"/>
    <col min="13" max="13" width="10" customWidth="1"/>
    <col min="14" max="16" width="12" customWidth="1"/>
    <col min="17" max="17" width="10" customWidth="1"/>
    <col min="18" max="18" width="22" customWidth="1"/>
    <col min="19" max="19" width="42" customWidth="1"/>
  </cols>
  <sheetData>
    <row r="1" spans="1:19" ht="30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3" spans="1:19" ht="25.5" customHeight="1" x14ac:dyDescent="0.25">
      <c r="A3" s="2" t="s">
        <v>1</v>
      </c>
      <c r="B3" s="2" t="s">
        <v>2</v>
      </c>
      <c r="C3" s="2" t="s">
        <v>3</v>
      </c>
      <c r="H3" s="14" t="s">
        <v>4</v>
      </c>
      <c r="I3" s="14" t="s">
        <v>5</v>
      </c>
      <c r="J3" s="14" t="s">
        <v>6</v>
      </c>
      <c r="K3" s="14" t="s">
        <v>7</v>
      </c>
      <c r="L3" s="14" t="s">
        <v>8</v>
      </c>
      <c r="M3" s="14" t="s">
        <v>9</v>
      </c>
      <c r="N3" s="14" t="s">
        <v>25</v>
      </c>
      <c r="O3" s="14" t="s">
        <v>26</v>
      </c>
      <c r="P3" s="14" t="s">
        <v>27</v>
      </c>
      <c r="Q3" s="14" t="s">
        <v>28</v>
      </c>
    </row>
    <row r="4" spans="1:19" ht="39.75" customHeight="1" x14ac:dyDescent="0.25">
      <c r="A4" s="26" t="s">
        <v>10</v>
      </c>
      <c r="B4" s="27" t="s">
        <v>11</v>
      </c>
      <c r="C4" s="27" t="s">
        <v>12</v>
      </c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9" ht="39.75" customHeight="1" x14ac:dyDescent="0.25">
      <c r="A5" s="31" t="s">
        <v>13</v>
      </c>
      <c r="B5" s="32" t="s">
        <v>14</v>
      </c>
      <c r="C5" s="32" t="s">
        <v>15</v>
      </c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9" x14ac:dyDescent="0.25"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9" ht="31.5" customHeight="1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14" t="s">
        <v>4</v>
      </c>
      <c r="I7" s="14" t="s">
        <v>5</v>
      </c>
      <c r="J7" s="14" t="s">
        <v>6</v>
      </c>
      <c r="K7" s="14" t="s">
        <v>7</v>
      </c>
      <c r="L7" s="14" t="s">
        <v>8</v>
      </c>
      <c r="M7" s="14" t="s">
        <v>9</v>
      </c>
      <c r="N7" s="14" t="s">
        <v>25</v>
      </c>
      <c r="O7" s="14" t="s">
        <v>26</v>
      </c>
      <c r="P7" s="14" t="s">
        <v>27</v>
      </c>
      <c r="Q7" s="14" t="s">
        <v>28</v>
      </c>
      <c r="R7" s="4" t="s">
        <v>2</v>
      </c>
      <c r="S7" s="4" t="s">
        <v>3</v>
      </c>
    </row>
    <row r="8" spans="1:19" ht="25.5" customHeight="1" x14ac:dyDescent="0.25">
      <c r="A8" s="23" t="s">
        <v>29</v>
      </c>
      <c r="B8" s="24">
        <v>62</v>
      </c>
      <c r="C8" s="24">
        <v>5</v>
      </c>
      <c r="D8" s="24">
        <v>97</v>
      </c>
      <c r="E8" s="25">
        <v>620000</v>
      </c>
      <c r="F8" s="24">
        <v>150</v>
      </c>
      <c r="G8" s="24">
        <v>2</v>
      </c>
      <c r="H8" s="8"/>
      <c r="I8" s="8"/>
      <c r="J8" s="8"/>
      <c r="K8" s="8"/>
      <c r="L8" s="8"/>
      <c r="M8" s="8"/>
      <c r="N8" s="8"/>
      <c r="O8" s="8"/>
      <c r="P8" s="8"/>
      <c r="Q8" s="9"/>
      <c r="R8" s="10"/>
      <c r="S8" s="10"/>
    </row>
    <row r="9" spans="1:19" ht="25.5" customHeight="1" x14ac:dyDescent="0.25">
      <c r="A9" s="5" t="s">
        <v>30</v>
      </c>
      <c r="B9" s="6">
        <v>28</v>
      </c>
      <c r="C9" s="6">
        <v>10</v>
      </c>
      <c r="D9" s="6">
        <v>85</v>
      </c>
      <c r="E9" s="7">
        <v>220000</v>
      </c>
      <c r="F9" s="6">
        <v>550</v>
      </c>
      <c r="G9" s="6">
        <v>4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ht="25.5" customHeight="1" x14ac:dyDescent="0.25">
      <c r="A10" s="5" t="s">
        <v>31</v>
      </c>
      <c r="B10" s="6">
        <v>45</v>
      </c>
      <c r="C10" s="6">
        <v>20</v>
      </c>
      <c r="D10" s="6">
        <v>68</v>
      </c>
      <c r="E10" s="7">
        <v>60000</v>
      </c>
      <c r="F10" s="6">
        <v>350</v>
      </c>
      <c r="G10" s="6">
        <v>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ht="25.5" customHeight="1" x14ac:dyDescent="0.25">
      <c r="A11" s="5" t="s">
        <v>32</v>
      </c>
      <c r="B11" s="6">
        <v>58</v>
      </c>
      <c r="C11" s="6">
        <v>6</v>
      </c>
      <c r="D11" s="6">
        <v>96</v>
      </c>
      <c r="E11" s="7">
        <v>540000</v>
      </c>
      <c r="F11" s="6">
        <v>220</v>
      </c>
      <c r="G11" s="6">
        <v>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ht="25.5" customHeight="1" x14ac:dyDescent="0.25">
      <c r="A12" s="5" t="s">
        <v>33</v>
      </c>
      <c r="B12" s="6">
        <v>50</v>
      </c>
      <c r="C12" s="6">
        <v>22</v>
      </c>
      <c r="D12" s="6">
        <v>65</v>
      </c>
      <c r="E12" s="7">
        <v>45000</v>
      </c>
      <c r="F12" s="6">
        <v>400</v>
      </c>
      <c r="G12" s="6">
        <v>9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ht="25.5" customHeight="1" x14ac:dyDescent="0.25">
      <c r="A13" s="5" t="s">
        <v>34</v>
      </c>
      <c r="B13" s="6">
        <v>24</v>
      </c>
      <c r="C13" s="6">
        <v>8</v>
      </c>
      <c r="D13" s="6">
        <v>88</v>
      </c>
      <c r="E13" s="7">
        <v>260000</v>
      </c>
      <c r="F13" s="6">
        <v>480</v>
      </c>
      <c r="G13" s="6">
        <v>3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ht="25.5" customHeight="1" x14ac:dyDescent="0.25">
      <c r="A14" s="5" t="s">
        <v>35</v>
      </c>
      <c r="B14" s="6">
        <v>65</v>
      </c>
      <c r="C14" s="6">
        <v>4</v>
      </c>
      <c r="D14" s="6">
        <v>99</v>
      </c>
      <c r="E14" s="7">
        <v>700000</v>
      </c>
      <c r="F14" s="6">
        <v>180</v>
      </c>
      <c r="G14" s="6"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25.5" customHeight="1" x14ac:dyDescent="0.25">
      <c r="A15" s="5" t="s">
        <v>36</v>
      </c>
      <c r="B15" s="6">
        <v>40</v>
      </c>
      <c r="C15" s="6">
        <v>18</v>
      </c>
      <c r="D15" s="6">
        <v>72</v>
      </c>
      <c r="E15" s="7">
        <v>80000</v>
      </c>
      <c r="F15" s="6">
        <v>300</v>
      </c>
      <c r="G15" s="6">
        <v>7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25.5" customHeight="1" x14ac:dyDescent="0.25">
      <c r="A16" s="5" t="s">
        <v>37</v>
      </c>
      <c r="B16" s="6">
        <v>31</v>
      </c>
      <c r="C16" s="6">
        <v>11</v>
      </c>
      <c r="D16" s="6">
        <v>82</v>
      </c>
      <c r="E16" s="7">
        <v>190000</v>
      </c>
      <c r="F16" s="6">
        <v>620</v>
      </c>
      <c r="G16" s="6">
        <v>5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25.5" customHeight="1" x14ac:dyDescent="0.25">
      <c r="A17" s="5" t="s">
        <v>38</v>
      </c>
      <c r="B17" s="6">
        <v>55</v>
      </c>
      <c r="C17" s="6">
        <v>7</v>
      </c>
      <c r="D17" s="6">
        <v>95</v>
      </c>
      <c r="E17" s="7">
        <v>460000</v>
      </c>
      <c r="F17" s="6">
        <v>260</v>
      </c>
      <c r="G17" s="6">
        <v>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25.5" customHeight="1" x14ac:dyDescent="0.25">
      <c r="A18" s="5" t="s">
        <v>39</v>
      </c>
      <c r="B18" s="6">
        <v>55</v>
      </c>
      <c r="C18" s="6">
        <v>25</v>
      </c>
      <c r="D18" s="6">
        <v>60</v>
      </c>
      <c r="E18" s="7">
        <v>35000</v>
      </c>
      <c r="F18" s="6">
        <v>450</v>
      </c>
      <c r="G18" s="6">
        <v>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ht="25.5" customHeight="1" x14ac:dyDescent="0.25">
      <c r="A19" s="5" t="s">
        <v>40</v>
      </c>
      <c r="B19" s="6">
        <v>26</v>
      </c>
      <c r="C19" s="6">
        <v>9</v>
      </c>
      <c r="D19" s="6">
        <v>86</v>
      </c>
      <c r="E19" s="7">
        <v>240000</v>
      </c>
      <c r="F19" s="6">
        <v>500</v>
      </c>
      <c r="G19" s="6">
        <v>4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ht="25.5" customHeight="1" x14ac:dyDescent="0.25">
      <c r="A20" s="5" t="s">
        <v>41</v>
      </c>
      <c r="B20" s="6">
        <v>60</v>
      </c>
      <c r="C20" s="6">
        <v>5</v>
      </c>
      <c r="D20" s="6">
        <v>98</v>
      </c>
      <c r="E20" s="7">
        <v>580000</v>
      </c>
      <c r="F20" s="6">
        <v>190</v>
      </c>
      <c r="G20" s="6">
        <v>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ht="25.5" customHeight="1" x14ac:dyDescent="0.25">
      <c r="A21" s="28" t="s">
        <v>42</v>
      </c>
      <c r="B21" s="29">
        <v>42</v>
      </c>
      <c r="C21" s="29">
        <v>19</v>
      </c>
      <c r="D21" s="29">
        <v>70</v>
      </c>
      <c r="E21" s="30">
        <v>70000</v>
      </c>
      <c r="F21" s="29">
        <v>320</v>
      </c>
      <c r="G21" s="29">
        <v>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ht="25.5" customHeight="1" x14ac:dyDescent="0.25">
      <c r="A22" s="5" t="s">
        <v>43</v>
      </c>
      <c r="B22" s="6">
        <v>33</v>
      </c>
      <c r="C22" s="6">
        <v>12</v>
      </c>
      <c r="D22" s="6">
        <v>80</v>
      </c>
      <c r="E22" s="7">
        <v>170000</v>
      </c>
      <c r="F22" s="6">
        <v>700</v>
      </c>
      <c r="G22" s="6">
        <v>5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4" spans="1:19" ht="19.5" customHeight="1" x14ac:dyDescent="0.25">
      <c r="A24" s="19" t="s">
        <v>44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ht="31.5" customHeight="1" x14ac:dyDescent="0.25">
      <c r="A25" s="22" t="s">
        <v>45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 x14ac:dyDescent="0.25">
      <c r="A26" s="18" t="s">
        <v>46</v>
      </c>
      <c r="B26" s="18"/>
      <c r="C26" s="18"/>
      <c r="D26" s="18"/>
      <c r="E26" s="12"/>
    </row>
    <row r="28" spans="1:19" ht="19.5" customHeight="1" x14ac:dyDescent="0.25">
      <c r="A28" s="19" t="s">
        <v>47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19" x14ac:dyDescent="0.25">
      <c r="A29" s="1" t="s">
        <v>48</v>
      </c>
      <c r="B29" s="1" t="s">
        <v>49</v>
      </c>
      <c r="C29" s="20" t="s">
        <v>3</v>
      </c>
      <c r="D29" s="20"/>
      <c r="E29" s="20"/>
      <c r="F29" s="2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30" customHeight="1" x14ac:dyDescent="0.25">
      <c r="A30" s="13">
        <v>1</v>
      </c>
      <c r="B30" s="13" t="s">
        <v>11</v>
      </c>
      <c r="C30" s="17" t="s">
        <v>12</v>
      </c>
      <c r="D30" s="17"/>
      <c r="E30" s="17"/>
      <c r="F30" s="17"/>
    </row>
    <row r="31" spans="1:19" ht="30" customHeight="1" x14ac:dyDescent="0.25">
      <c r="A31" s="13">
        <v>2</v>
      </c>
      <c r="B31" s="13" t="s">
        <v>14</v>
      </c>
      <c r="C31" s="17" t="s">
        <v>15</v>
      </c>
      <c r="D31" s="17"/>
      <c r="E31" s="17"/>
      <c r="F31" s="17"/>
    </row>
    <row r="32" spans="1:19" ht="30" customHeight="1" x14ac:dyDescent="0.25">
      <c r="A32" s="13">
        <v>3</v>
      </c>
      <c r="B32" s="13" t="s">
        <v>16</v>
      </c>
      <c r="C32" s="17" t="s">
        <v>17</v>
      </c>
      <c r="D32" s="17"/>
      <c r="E32" s="17"/>
      <c r="F32" s="17"/>
    </row>
  </sheetData>
  <mergeCells count="9">
    <mergeCell ref="C30:F30"/>
    <mergeCell ref="C31:F31"/>
    <mergeCell ref="C32:F32"/>
    <mergeCell ref="A1:S1"/>
    <mergeCell ref="A24:S24"/>
    <mergeCell ref="A25:S25"/>
    <mergeCell ref="A26:D26"/>
    <mergeCell ref="A28:S28"/>
    <mergeCell ref="C29:F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 Resolver</vt:lpstr>
      <vt:lpstr>Por Resolver (3)</vt:lpstr>
      <vt:lpstr>Por Resolver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Najera</cp:lastModifiedBy>
  <cp:revision>0</cp:revision>
  <dcterms:created xsi:type="dcterms:W3CDTF">2026-07-15T23:07:14Z</dcterms:created>
  <dcterms:modified xsi:type="dcterms:W3CDTF">2026-07-16T02:23:21Z</dcterms:modified>
  <dc:language>en-US</dc:language>
</cp:coreProperties>
</file>