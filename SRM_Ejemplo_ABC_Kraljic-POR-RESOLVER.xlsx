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FO-SNAJERA\descargas\"/>
    </mc:Choice>
  </mc:AlternateContent>
  <xr:revisionPtr revIDLastSave="0" documentId="8_{31AE14C1-A96D-476A-BB78-D4BB8253C7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 Resolv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C6" i="1"/>
  <c r="D6" i="1" s="1"/>
  <c r="E6" i="1" s="1"/>
  <c r="G6" i="1" s="1"/>
</calcChain>
</file>

<file path=xl/sharedStrings.xml><?xml version="1.0" encoding="utf-8"?>
<sst xmlns="http://schemas.openxmlformats.org/spreadsheetml/2006/main" count="104" uniqueCount="69">
  <si>
    <t>Gestión Avanzada de Proveedores (SRM) — Caso Aplicado: Panificadora El Trigal</t>
  </si>
  <si>
    <t>Ejercicio: clasifica cada insumo con el análisis ABC, ubícalo en la matriz ABC-Criticidad y en la matriz de Kraljic, y propone la política de compra. La fila 6 ya está resuelta como ejemplo. Completa las celdas amarillas de las filas 7 a 17. Usa fórmulas en Excel para las columnas C y D.</t>
  </si>
  <si>
    <t>Leyenda: celdas en gris = datos dados (no editar) · celdas en amarillo = completa tú · fila verde = ejemplo resuelto. Consulta la tabla de referencia al final de la hoja.</t>
  </si>
  <si>
    <t>Ítem</t>
  </si>
  <si>
    <t>Gasto Anual ($)</t>
  </si>
  <si>
    <t>% del Gasto</t>
  </si>
  <si>
    <t>% Acumulado</t>
  </si>
  <si>
    <t>Clasificación ABC</t>
  </si>
  <si>
    <t>Criticidad del Suministro</t>
  </si>
  <si>
    <t>Cuadrante ABC-Criticidad</t>
  </si>
  <si>
    <t>Riesgo de Abastecimiento</t>
  </si>
  <si>
    <t>Impacto en Rentabilidad</t>
  </si>
  <si>
    <t>Cuadrante Kraljic</t>
  </si>
  <si>
    <t>Política Sugerida (ABC-Criticidad)</t>
  </si>
  <si>
    <t>Política Sugerida (Kraljic)</t>
  </si>
  <si>
    <t>Justificación / Explicación</t>
  </si>
  <si>
    <t>Harina de trigo</t>
  </si>
  <si>
    <t>Alta</t>
  </si>
  <si>
    <t>Alto</t>
  </si>
  <si>
    <t>Máxima atención: alianzas estratégicas, contratos de largo plazo, gestión de riesgo integral, innovación conjunta con el proveedor.</t>
  </si>
  <si>
    <t>Desarrollar relaciones de largo plazo, colaboración e innovación conjunta, y gestión compartida del riesgo.</t>
  </si>
  <si>
    <t>Insumo base de todos los productos, alto gasto y pocos molinos que garantizan calidad constante: prioridad estratégica.</t>
  </si>
  <si>
    <t>Mantequilla</t>
  </si>
  <si>
    <t>Azúcar</t>
  </si>
  <si>
    <t>Media</t>
  </si>
  <si>
    <t>Bajo</t>
  </si>
  <si>
    <t>Mantenimiento de hornos</t>
  </si>
  <si>
    <t>Empaques y cajas</t>
  </si>
  <si>
    <t>Baja</t>
  </si>
  <si>
    <t>Electricidad industrial</t>
  </si>
  <si>
    <t>Transporte y distribución</t>
  </si>
  <si>
    <t>Levadura</t>
  </si>
  <si>
    <t>Software punto de venta (licencia)</t>
  </si>
  <si>
    <t>Decoraciones para pasteles</t>
  </si>
  <si>
    <t>Insumos de limpieza</t>
  </si>
  <si>
    <t>Utensilios de repostería</t>
  </si>
  <si>
    <t>TABLA DE REFERENCIA — Reglas y Políticas de Compra</t>
  </si>
  <si>
    <t>Regla de clasificación ABC (según % acumulado del gasto, de mayor a menor):</t>
  </si>
  <si>
    <t xml:space="preserve">  A = ítems cuyo % acumulado cae entre 0% y 80% (pocos ítems, alto valor)</t>
  </si>
  <si>
    <t xml:space="preserve">  B = ítems cuyo % acumulado cae entre 80% y 95% (valor medio)</t>
  </si>
  <si>
    <t xml:space="preserve">  C = ítems cuyo % acumulado cae entre 95% y 100% (muchos ítems, bajo valor)</t>
  </si>
  <si>
    <t>Matriz ABC vs Criticidad</t>
  </si>
  <si>
    <t>Cuadrante</t>
  </si>
  <si>
    <t>Política de compra recomendada</t>
  </si>
  <si>
    <t>A-A</t>
  </si>
  <si>
    <t>A-M</t>
  </si>
  <si>
    <t>Atención alta: negociación activa, evaluar proveedores alternos, asegurar calidad y nivel de servicio.</t>
  </si>
  <si>
    <t>A-B</t>
  </si>
  <si>
    <t>Atención alta: gestionar el volumen de compra, consolidar proveedores y mantener revisión periódica.</t>
  </si>
  <si>
    <t>B-A</t>
  </si>
  <si>
    <t>Atención alta: desarrollo de proveedores, planes de contingencia y monitoreo cercano del riesgo de suministro.</t>
  </si>
  <si>
    <t>B-M</t>
  </si>
  <si>
    <t>Atención estándar: procesos estandarizados, consolidación de demanda e indicadores clave de desempeño.</t>
  </si>
  <si>
    <t>B-B</t>
  </si>
  <si>
    <t>Atención estándar: uso de catálogos / e-procurement y control por excepción.</t>
  </si>
  <si>
    <t>C-A</t>
  </si>
  <si>
    <t>Atención estándar-alta: asegurar disponibilidad, buscar sustitutos y proveedores alternos (riesgo tipo cuello de botella).</t>
  </si>
  <si>
    <t>C-M</t>
  </si>
  <si>
    <t>Atención básica: simplificar y automatizar, minimizar el costo transaccional.</t>
  </si>
  <si>
    <t>C-B</t>
  </si>
  <si>
    <t>Atención básica: automatizar y consolidar en catálogo; mínimo esfuerzo de gestión.</t>
  </si>
  <si>
    <t>Matriz de Kraljic</t>
  </si>
  <si>
    <t>Estratégico</t>
  </si>
  <si>
    <t>Apalancamiento</t>
  </si>
  <si>
    <t>Explotar el poder de negociación: licitar, comparar múltiples proveedores y negociar precio agresivamente.</t>
  </si>
  <si>
    <t>Cuello de Botella</t>
  </si>
  <si>
    <t>Asegurar el abastecimiento: proveedores alternos, inventario de seguridad y contratos de respaldo.</t>
  </si>
  <si>
    <t>No Crítico</t>
  </si>
  <si>
    <t>Simplificar y estandarizar la compra: catálogos electrónicos y mínimo costo administrativo.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</si>
</sst>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i/>
      <sz val="9"/>
      <color rgb="FF7F7F7F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FF2A6"/>
        <bgColor rgb="FFE2EFDA"/>
      </patternFill>
    </fill>
    <fill>
      <patternFill patternType="solid">
        <fgColor rgb="FF548235"/>
        <bgColor rgb="FF339966"/>
      </patternFill>
    </fill>
    <fill>
      <patternFill patternType="solid">
        <fgColor rgb="FFD9E2F3"/>
        <bgColor rgb="FFDDEB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1" xfId="0" applyFont="1" applyBorder="1" applyAlignment="1">
      <alignment vertical="center" wrapText="1"/>
    </xf>
    <xf numFmtId="0" fontId="6" fillId="8" borderId="1" xfId="0" applyFont="1" applyFill="1" applyBorder="1"/>
    <xf numFmtId="0" fontId="5" fillId="0" borderId="0" xfId="0" applyFont="1"/>
    <xf numFmtId="0" fontId="6" fillId="0" borderId="0" xfId="0" applyFont="1"/>
    <xf numFmtId="0" fontId="4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/>
    <xf numFmtId="0" fontId="5" fillId="6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8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showGridLines="0" tabSelected="1" zoomScaleNormal="100" workbookViewId="0">
      <pane ySplit="5" topLeftCell="A6" activePane="bottomLeft" state="frozen"/>
      <selection pane="bottomLeft" activeCell="K7" sqref="K7"/>
    </sheetView>
  </sheetViews>
  <sheetFormatPr baseColWidth="10" defaultColWidth="8.7109375" defaultRowHeight="15" x14ac:dyDescent="0.25"/>
  <cols>
    <col min="1" max="1" width="30" customWidth="1"/>
    <col min="2" max="2" width="14" customWidth="1"/>
    <col min="3" max="4" width="11" customWidth="1"/>
    <col min="5" max="5" width="13" customWidth="1"/>
    <col min="6" max="6" width="16" customWidth="1"/>
    <col min="7" max="7" width="14" customWidth="1"/>
    <col min="8" max="8" width="15" customWidth="1"/>
    <col min="9" max="10" width="14" customWidth="1"/>
    <col min="11" max="12" width="34" customWidth="1"/>
    <col min="13" max="13" width="46" customWidth="1"/>
  </cols>
  <sheetData>
    <row r="1" spans="1:13" ht="30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3.75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5.75" customHeigh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3" ht="30" customHeight="1" x14ac:dyDescent="0.25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</row>
    <row r="6" spans="1:13" ht="27.75" customHeight="1" x14ac:dyDescent="0.25">
      <c r="A6" s="10" t="s">
        <v>16</v>
      </c>
      <c r="B6" s="11">
        <v>180000</v>
      </c>
      <c r="C6" s="12">
        <f>B6/SUM($B$6:$B$17)</f>
        <v>0.26865671641791045</v>
      </c>
      <c r="D6" s="12">
        <f>SUM($C$6:C6)</f>
        <v>0.26865671641791045</v>
      </c>
      <c r="E6" s="13" t="str">
        <f>IF(D6&lt;=0.8,"A",IF(D6&lt;=0.95,"B","C"))</f>
        <v>A</v>
      </c>
      <c r="F6" s="14" t="s">
        <v>17</v>
      </c>
      <c r="G6" s="13" t="str">
        <f>E6&amp;"-"&amp;LEFT(F6,1)</f>
        <v>A-A</v>
      </c>
      <c r="H6" s="14" t="s">
        <v>18</v>
      </c>
      <c r="I6" s="14" t="s">
        <v>18</v>
      </c>
      <c r="J6" s="13" t="str">
        <f>IF(AND(H6="Alto",I6="Alto"),"Estratégico",IF(AND(H6="Bajo",I6="Alto"),"Apalancamiento",IF(AND(H6="Alto",I6="Bajo"),"Cuello de Botella","No Crítico")))</f>
        <v>Estratégico</v>
      </c>
      <c r="K6" s="10" t="s">
        <v>19</v>
      </c>
      <c r="L6" s="10" t="s">
        <v>20</v>
      </c>
      <c r="M6" s="10" t="s">
        <v>21</v>
      </c>
    </row>
    <row r="7" spans="1:13" ht="27.75" customHeight="1" x14ac:dyDescent="0.25">
      <c r="A7" s="15" t="s">
        <v>22</v>
      </c>
      <c r="B7" s="16">
        <v>150000</v>
      </c>
      <c r="C7" s="17"/>
      <c r="D7" s="17"/>
      <c r="E7" s="18"/>
      <c r="F7" s="19" t="s">
        <v>17</v>
      </c>
      <c r="G7" s="18"/>
      <c r="H7" s="19" t="s">
        <v>18</v>
      </c>
      <c r="I7" s="19" t="s">
        <v>18</v>
      </c>
      <c r="J7" s="18"/>
      <c r="K7" s="18"/>
      <c r="L7" s="18"/>
      <c r="M7" s="18"/>
    </row>
    <row r="8" spans="1:13" ht="27.75" customHeight="1" x14ac:dyDescent="0.25">
      <c r="A8" s="15" t="s">
        <v>23</v>
      </c>
      <c r="B8" s="16">
        <v>90000</v>
      </c>
      <c r="C8" s="17"/>
      <c r="D8" s="17"/>
      <c r="E8" s="18"/>
      <c r="F8" s="19" t="s">
        <v>24</v>
      </c>
      <c r="G8" s="18"/>
      <c r="H8" s="19" t="s">
        <v>25</v>
      </c>
      <c r="I8" s="19" t="s">
        <v>18</v>
      </c>
      <c r="J8" s="18"/>
      <c r="K8" s="18"/>
      <c r="L8" s="18"/>
      <c r="M8" s="18"/>
    </row>
    <row r="9" spans="1:13" ht="27.75" customHeight="1" x14ac:dyDescent="0.25">
      <c r="A9" s="15" t="s">
        <v>26</v>
      </c>
      <c r="B9" s="16">
        <v>60000</v>
      </c>
      <c r="C9" s="17"/>
      <c r="D9" s="17"/>
      <c r="E9" s="18"/>
      <c r="F9" s="19" t="s">
        <v>17</v>
      </c>
      <c r="G9" s="18"/>
      <c r="H9" s="19" t="s">
        <v>18</v>
      </c>
      <c r="I9" s="19" t="s">
        <v>18</v>
      </c>
      <c r="J9" s="18"/>
      <c r="K9" s="18"/>
      <c r="L9" s="18"/>
      <c r="M9" s="18"/>
    </row>
    <row r="10" spans="1:13" ht="27.75" customHeight="1" x14ac:dyDescent="0.25">
      <c r="A10" s="15" t="s">
        <v>27</v>
      </c>
      <c r="B10" s="16">
        <v>45000</v>
      </c>
      <c r="C10" s="17"/>
      <c r="D10" s="17"/>
      <c r="E10" s="18"/>
      <c r="F10" s="19" t="s">
        <v>28</v>
      </c>
      <c r="G10" s="18"/>
      <c r="H10" s="19" t="s">
        <v>25</v>
      </c>
      <c r="I10" s="19" t="s">
        <v>18</v>
      </c>
      <c r="J10" s="18"/>
      <c r="K10" s="18"/>
      <c r="L10" s="18"/>
      <c r="M10" s="18"/>
    </row>
    <row r="11" spans="1:13" ht="27.75" customHeight="1" x14ac:dyDescent="0.25">
      <c r="A11" s="15" t="s">
        <v>29</v>
      </c>
      <c r="B11" s="16">
        <v>40000</v>
      </c>
      <c r="C11" s="17"/>
      <c r="D11" s="17"/>
      <c r="E11" s="18"/>
      <c r="F11" s="19" t="s">
        <v>17</v>
      </c>
      <c r="G11" s="18"/>
      <c r="H11" s="19" t="s">
        <v>18</v>
      </c>
      <c r="I11" s="19" t="s">
        <v>25</v>
      </c>
      <c r="J11" s="18"/>
      <c r="K11" s="18"/>
      <c r="L11" s="18"/>
      <c r="M11" s="18"/>
    </row>
    <row r="12" spans="1:13" ht="27.75" customHeight="1" x14ac:dyDescent="0.25">
      <c r="A12" s="15" t="s">
        <v>30</v>
      </c>
      <c r="B12" s="16">
        <v>35000</v>
      </c>
      <c r="C12" s="17"/>
      <c r="D12" s="17"/>
      <c r="E12" s="18"/>
      <c r="F12" s="19" t="s">
        <v>24</v>
      </c>
      <c r="G12" s="18"/>
      <c r="H12" s="19" t="s">
        <v>18</v>
      </c>
      <c r="I12" s="19" t="s">
        <v>25</v>
      </c>
      <c r="J12" s="18"/>
      <c r="K12" s="18"/>
      <c r="L12" s="18"/>
      <c r="M12" s="18"/>
    </row>
    <row r="13" spans="1:13" ht="27.75" customHeight="1" x14ac:dyDescent="0.25">
      <c r="A13" s="15" t="s">
        <v>31</v>
      </c>
      <c r="B13" s="16">
        <v>25000</v>
      </c>
      <c r="C13" s="17"/>
      <c r="D13" s="17"/>
      <c r="E13" s="18"/>
      <c r="F13" s="19" t="s">
        <v>24</v>
      </c>
      <c r="G13" s="18"/>
      <c r="H13" s="19" t="s">
        <v>18</v>
      </c>
      <c r="I13" s="19" t="s">
        <v>25</v>
      </c>
      <c r="J13" s="18"/>
      <c r="K13" s="18"/>
      <c r="L13" s="18"/>
      <c r="M13" s="18"/>
    </row>
    <row r="14" spans="1:13" ht="27.75" customHeight="1" x14ac:dyDescent="0.25">
      <c r="A14" s="15" t="s">
        <v>32</v>
      </c>
      <c r="B14" s="16">
        <v>15000</v>
      </c>
      <c r="C14" s="17"/>
      <c r="D14" s="17"/>
      <c r="E14" s="18"/>
      <c r="F14" s="19" t="s">
        <v>28</v>
      </c>
      <c r="G14" s="18"/>
      <c r="H14" s="19" t="s">
        <v>25</v>
      </c>
      <c r="I14" s="19" t="s">
        <v>25</v>
      </c>
      <c r="J14" s="18"/>
      <c r="K14" s="18"/>
      <c r="L14" s="18"/>
      <c r="M14" s="18"/>
    </row>
    <row r="15" spans="1:13" ht="27.75" customHeight="1" x14ac:dyDescent="0.25">
      <c r="A15" s="15" t="s">
        <v>33</v>
      </c>
      <c r="B15" s="16">
        <v>12000</v>
      </c>
      <c r="C15" s="17"/>
      <c r="D15" s="17"/>
      <c r="E15" s="18"/>
      <c r="F15" s="19" t="s">
        <v>28</v>
      </c>
      <c r="G15" s="18"/>
      <c r="H15" s="19" t="s">
        <v>25</v>
      </c>
      <c r="I15" s="19" t="s">
        <v>25</v>
      </c>
      <c r="J15" s="18"/>
      <c r="K15" s="18"/>
      <c r="L15" s="18"/>
      <c r="M15" s="18"/>
    </row>
    <row r="16" spans="1:13" ht="27.75" customHeight="1" x14ac:dyDescent="0.25">
      <c r="A16" s="15" t="s">
        <v>34</v>
      </c>
      <c r="B16" s="16">
        <v>10000</v>
      </c>
      <c r="C16" s="17"/>
      <c r="D16" s="17"/>
      <c r="E16" s="18"/>
      <c r="F16" s="19" t="s">
        <v>28</v>
      </c>
      <c r="G16" s="18"/>
      <c r="H16" s="19" t="s">
        <v>25</v>
      </c>
      <c r="I16" s="19" t="s">
        <v>25</v>
      </c>
      <c r="J16" s="18"/>
      <c r="K16" s="18"/>
      <c r="L16" s="18"/>
      <c r="M16" s="18"/>
    </row>
    <row r="17" spans="1:13" ht="27.75" customHeight="1" x14ac:dyDescent="0.25">
      <c r="A17" s="15" t="s">
        <v>35</v>
      </c>
      <c r="B17" s="16">
        <v>8000</v>
      </c>
      <c r="C17" s="17"/>
      <c r="D17" s="17"/>
      <c r="E17" s="18"/>
      <c r="F17" s="19" t="s">
        <v>24</v>
      </c>
      <c r="G17" s="18"/>
      <c r="H17" s="19" t="s">
        <v>25</v>
      </c>
      <c r="I17" s="19" t="s">
        <v>25</v>
      </c>
      <c r="J17" s="18"/>
      <c r="K17" s="18"/>
      <c r="L17" s="18"/>
      <c r="M17" s="18"/>
    </row>
    <row r="20" spans="1:13" ht="19.5" customHeight="1" x14ac:dyDescent="0.25">
      <c r="A20" s="5" t="s">
        <v>36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25">
      <c r="A21" s="4" t="s">
        <v>37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s="3" t="s">
        <v>38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3" t="s">
        <v>39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3" t="s">
        <v>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6" spans="1:13" x14ac:dyDescent="0.25">
      <c r="A26" s="20" t="s">
        <v>41</v>
      </c>
    </row>
    <row r="27" spans="1:13" x14ac:dyDescent="0.25">
      <c r="A27" s="21" t="s">
        <v>42</v>
      </c>
      <c r="B27" s="2" t="s">
        <v>43</v>
      </c>
      <c r="C27" s="2"/>
      <c r="D27" s="2"/>
      <c r="E27" s="2"/>
      <c r="F27" s="2"/>
    </row>
    <row r="28" spans="1:13" ht="23.85" customHeight="1" x14ac:dyDescent="0.25">
      <c r="A28" s="22" t="s">
        <v>44</v>
      </c>
      <c r="B28" s="1" t="s">
        <v>19</v>
      </c>
      <c r="C28" s="1"/>
      <c r="D28" s="1"/>
      <c r="E28" s="1"/>
      <c r="F28" s="1"/>
    </row>
    <row r="29" spans="1:13" ht="23.85" customHeight="1" x14ac:dyDescent="0.25">
      <c r="A29" s="22" t="s">
        <v>45</v>
      </c>
      <c r="B29" s="1" t="s">
        <v>46</v>
      </c>
      <c r="C29" s="1"/>
      <c r="D29" s="1"/>
      <c r="E29" s="1"/>
      <c r="F29" s="1"/>
    </row>
    <row r="30" spans="1:13" ht="23.85" customHeight="1" x14ac:dyDescent="0.25">
      <c r="A30" s="22" t="s">
        <v>47</v>
      </c>
      <c r="B30" s="1" t="s">
        <v>48</v>
      </c>
      <c r="C30" s="1"/>
      <c r="D30" s="1"/>
      <c r="E30" s="1"/>
      <c r="F30" s="1"/>
    </row>
    <row r="31" spans="1:13" ht="23.85" customHeight="1" x14ac:dyDescent="0.25">
      <c r="A31" s="22" t="s">
        <v>49</v>
      </c>
      <c r="B31" s="1" t="s">
        <v>50</v>
      </c>
      <c r="C31" s="1"/>
      <c r="D31" s="1"/>
      <c r="E31" s="1"/>
      <c r="F31" s="1"/>
    </row>
    <row r="32" spans="1:13" ht="23.85" customHeight="1" x14ac:dyDescent="0.25">
      <c r="A32" s="22" t="s">
        <v>51</v>
      </c>
      <c r="B32" s="1" t="s">
        <v>52</v>
      </c>
      <c r="C32" s="1"/>
      <c r="D32" s="1"/>
      <c r="E32" s="1"/>
      <c r="F32" s="1"/>
    </row>
    <row r="33" spans="1:6" ht="15" customHeight="1" x14ac:dyDescent="0.25">
      <c r="A33" s="22" t="s">
        <v>53</v>
      </c>
      <c r="B33" s="1" t="s">
        <v>54</v>
      </c>
      <c r="C33" s="1"/>
      <c r="D33" s="1"/>
      <c r="E33" s="1"/>
      <c r="F33" s="1"/>
    </row>
    <row r="34" spans="1:6" ht="23.85" customHeight="1" x14ac:dyDescent="0.25">
      <c r="A34" s="22" t="s">
        <v>55</v>
      </c>
      <c r="B34" s="1" t="s">
        <v>56</v>
      </c>
      <c r="C34" s="1"/>
      <c r="D34" s="1"/>
      <c r="E34" s="1"/>
      <c r="F34" s="1"/>
    </row>
    <row r="35" spans="1:6" ht="15" customHeight="1" x14ac:dyDescent="0.25">
      <c r="A35" s="22" t="s">
        <v>57</v>
      </c>
      <c r="B35" s="1" t="s">
        <v>58</v>
      </c>
      <c r="C35" s="1"/>
      <c r="D35" s="1"/>
      <c r="E35" s="1"/>
      <c r="F35" s="1"/>
    </row>
    <row r="36" spans="1:6" ht="23.85" customHeight="1" x14ac:dyDescent="0.25">
      <c r="A36" s="22" t="s">
        <v>59</v>
      </c>
      <c r="B36" s="1" t="s">
        <v>60</v>
      </c>
      <c r="C36" s="1"/>
      <c r="D36" s="1"/>
      <c r="E36" s="1"/>
      <c r="F36" s="1"/>
    </row>
    <row r="38" spans="1:6" x14ac:dyDescent="0.25">
      <c r="A38" s="20" t="s">
        <v>61</v>
      </c>
    </row>
    <row r="39" spans="1:6" x14ac:dyDescent="0.25">
      <c r="A39" s="21" t="s">
        <v>42</v>
      </c>
      <c r="B39" s="2" t="s">
        <v>43</v>
      </c>
      <c r="C39" s="2"/>
      <c r="D39" s="2"/>
      <c r="E39" s="2"/>
      <c r="F39" s="2"/>
    </row>
    <row r="40" spans="1:6" ht="23.85" customHeight="1" x14ac:dyDescent="0.25">
      <c r="A40" s="22" t="s">
        <v>62</v>
      </c>
      <c r="B40" s="1" t="s">
        <v>20</v>
      </c>
      <c r="C40" s="1"/>
      <c r="D40" s="1"/>
      <c r="E40" s="1"/>
      <c r="F40" s="1"/>
    </row>
    <row r="41" spans="1:6" ht="23.85" customHeight="1" x14ac:dyDescent="0.25">
      <c r="A41" s="22" t="s">
        <v>63</v>
      </c>
      <c r="B41" s="1" t="s">
        <v>64</v>
      </c>
      <c r="C41" s="1"/>
      <c r="D41" s="1"/>
      <c r="E41" s="1"/>
      <c r="F41" s="1"/>
    </row>
    <row r="42" spans="1:6" ht="23.85" customHeight="1" x14ac:dyDescent="0.25">
      <c r="A42" s="22" t="s">
        <v>65</v>
      </c>
      <c r="B42" s="1" t="s">
        <v>66</v>
      </c>
      <c r="C42" s="1"/>
      <c r="D42" s="1"/>
      <c r="E42" s="1"/>
      <c r="F42" s="1"/>
    </row>
    <row r="43" spans="1:6" ht="23.85" customHeight="1" x14ac:dyDescent="0.25">
      <c r="A43" s="22" t="s">
        <v>67</v>
      </c>
      <c r="B43" s="1" t="s">
        <v>68</v>
      </c>
      <c r="C43" s="1"/>
      <c r="D43" s="1"/>
      <c r="E43" s="1"/>
      <c r="F43" s="1"/>
    </row>
  </sheetData>
  <mergeCells count="23">
    <mergeCell ref="B41:F41"/>
    <mergeCell ref="B42:F42"/>
    <mergeCell ref="B43:F43"/>
    <mergeCell ref="B34:F34"/>
    <mergeCell ref="B35:F35"/>
    <mergeCell ref="B36:F36"/>
    <mergeCell ref="B39:F39"/>
    <mergeCell ref="B40:F40"/>
    <mergeCell ref="B29:F29"/>
    <mergeCell ref="B30:F30"/>
    <mergeCell ref="B31:F31"/>
    <mergeCell ref="B32:F32"/>
    <mergeCell ref="B33:F33"/>
    <mergeCell ref="A22:M22"/>
    <mergeCell ref="A23:M23"/>
    <mergeCell ref="A24:M24"/>
    <mergeCell ref="B27:F27"/>
    <mergeCell ref="B28:F28"/>
    <mergeCell ref="A1:M1"/>
    <mergeCell ref="A2:M2"/>
    <mergeCell ref="A3:M3"/>
    <mergeCell ref="A20:M20"/>
    <mergeCell ref="A21:M21"/>
  </mergeCells>
  <dataValidations count="2">
    <dataValidation type="list" allowBlank="1" sqref="E7:E17" xr:uid="{00000000-0002-0000-0000-000000000000}">
      <formula1>"A,B,C"</formula1>
      <formula2>0</formula2>
    </dataValidation>
    <dataValidation type="list" allowBlank="1" sqref="J7:J17" xr:uid="{00000000-0002-0000-0000-000001000000}">
      <formula1>"Estratégico,Apalancamiento,Cuello de Botella,No Crítico"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Resolver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Najera</cp:lastModifiedBy>
  <cp:revision>0</cp:revision>
  <dcterms:created xsi:type="dcterms:W3CDTF">2026-07-15T22:34:10Z</dcterms:created>
  <dcterms:modified xsi:type="dcterms:W3CDTF">2026-07-15T23:13:05Z</dcterms:modified>
  <dc:language>en-US</dc:language>
</cp:coreProperties>
</file>